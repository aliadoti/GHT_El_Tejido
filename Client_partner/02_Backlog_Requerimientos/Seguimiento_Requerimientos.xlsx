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aliadoti-my.sharepoint.com/personal/jason_perez_aliadoti_com/Documents/Codigo_fuente/GHT_Tejido_de_la_red/Client_partner/02_Backlog_Requerimientos/"/>
    </mc:Choice>
  </mc:AlternateContent>
  <xr:revisionPtr revIDLastSave="151" documentId="11_AB2CD9BA22812936CACDFDB7F8837856A9632A65" xr6:coauthVersionLast="47" xr6:coauthVersionMax="47" xr10:uidLastSave="{C25588DE-326F-4A51-B4DA-AFA6619AD2F9}"/>
  <bookViews>
    <workbookView xWindow="57480" yWindow="-120" windowWidth="29040" windowHeight="15720" tabRatio="500" firstSheet="1" activeTab="7" xr2:uid="{00000000-000D-0000-FFFF-FFFF00000000}"/>
  </bookViews>
  <sheets>
    <sheet name="Alcance inicial" sheetId="1" r:id="rId1"/>
    <sheet name="Nuevas iniciativas" sheetId="2" r:id="rId2"/>
    <sheet name="Estado 20260804" sheetId="8" r:id="rId3"/>
    <sheet name="Estado ejecutivo" sheetId="3" r:id="rId4"/>
    <sheet name="Gantt" sheetId="4" r:id="rId5"/>
    <sheet name="Resumen" sheetId="5" r:id="rId6"/>
    <sheet name="Listas" sheetId="6" r:id="rId7"/>
    <sheet name="Estado" sheetId="7" r:id="rId8"/>
  </sheets>
  <definedNames>
    <definedName name="_xlnm._FilterDatabase" localSheetId="0" hidden="1">'Alcance inicial'!$A$1:$Q$1</definedName>
    <definedName name="_xlnm._FilterDatabase" localSheetId="7" hidden="1">Estado!$A$1:$F$40</definedName>
    <definedName name="_xlnm._FilterDatabase" localSheetId="2" hidden="1">'Estado 20260804'!$A$3:$I$54</definedName>
    <definedName name="_xlnm._FilterDatabase" localSheetId="3" hidden="1">'Estado ejecutivo'!$A$3:$I$54</definedName>
    <definedName name="_xlnm._FilterDatabase" localSheetId="1" hidden="1">'Nuevas iniciativas'!$A$1:$Q$1</definedName>
  </definedNames>
  <calcPr calcId="191029" iterateDelta="1E-4"/>
  <pivotCaches>
    <pivotCache cacheId="3"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5" l="1"/>
  <c r="C10" i="5"/>
  <c r="B10" i="5"/>
  <c r="D9" i="5"/>
  <c r="C9" i="5"/>
  <c r="B9" i="5"/>
  <c r="C8" i="5"/>
  <c r="B8" i="5"/>
  <c r="C7" i="5"/>
  <c r="B7" i="5"/>
  <c r="D6" i="5"/>
  <c r="C6" i="5"/>
  <c r="B6" i="5"/>
  <c r="B11" i="5" s="1"/>
  <c r="D5" i="5"/>
  <c r="C5" i="5"/>
  <c r="C11" i="5" s="1"/>
  <c r="B5" i="5"/>
  <c r="C4" i="5"/>
  <c r="B4" i="5"/>
  <c r="W57" i="4"/>
  <c r="V57" i="4"/>
  <c r="U57" i="4"/>
  <c r="T57" i="4"/>
  <c r="S57" i="4"/>
  <c r="R57" i="4"/>
  <c r="Q57" i="4"/>
  <c r="P57" i="4"/>
  <c r="O57" i="4"/>
  <c r="N57" i="4"/>
  <c r="M57" i="4"/>
  <c r="L57" i="4"/>
  <c r="K57" i="4"/>
  <c r="J57" i="4"/>
  <c r="I57" i="4"/>
  <c r="H57" i="4"/>
  <c r="G57" i="4"/>
  <c r="W56" i="4"/>
  <c r="V56" i="4"/>
  <c r="U56" i="4"/>
  <c r="T56" i="4"/>
  <c r="S56" i="4"/>
  <c r="R56" i="4"/>
  <c r="Q56" i="4"/>
  <c r="P56" i="4"/>
  <c r="O56" i="4"/>
  <c r="N56" i="4"/>
  <c r="M56" i="4"/>
  <c r="L56" i="4"/>
  <c r="K56" i="4"/>
  <c r="J56" i="4"/>
  <c r="I56" i="4"/>
  <c r="H56" i="4"/>
  <c r="G56" i="4"/>
  <c r="W55" i="4"/>
  <c r="V55" i="4"/>
  <c r="U55" i="4"/>
  <c r="T55" i="4"/>
  <c r="S55" i="4"/>
  <c r="R55" i="4"/>
  <c r="Q55" i="4"/>
  <c r="P55" i="4"/>
  <c r="O55" i="4"/>
  <c r="N55" i="4"/>
  <c r="M55" i="4"/>
  <c r="L55" i="4"/>
  <c r="K55" i="4"/>
  <c r="J55" i="4"/>
  <c r="I55" i="4"/>
  <c r="H55" i="4"/>
  <c r="G55" i="4"/>
  <c r="W54" i="4"/>
  <c r="V54" i="4"/>
  <c r="U54" i="4"/>
  <c r="T54" i="4"/>
  <c r="S54" i="4"/>
  <c r="R54" i="4"/>
  <c r="Q54" i="4"/>
  <c r="P54" i="4"/>
  <c r="O54" i="4"/>
  <c r="N54" i="4"/>
  <c r="M54" i="4"/>
  <c r="L54" i="4"/>
  <c r="K54" i="4"/>
  <c r="J54" i="4"/>
  <c r="I54" i="4"/>
  <c r="H54" i="4"/>
  <c r="G54" i="4"/>
  <c r="W53" i="4"/>
  <c r="V53" i="4"/>
  <c r="U53" i="4"/>
  <c r="T53" i="4"/>
  <c r="S53" i="4"/>
  <c r="R53" i="4"/>
  <c r="Q53" i="4"/>
  <c r="P53" i="4"/>
  <c r="O53" i="4"/>
  <c r="N53" i="4"/>
  <c r="M53" i="4"/>
  <c r="L53" i="4"/>
  <c r="K53" i="4"/>
  <c r="J53" i="4"/>
  <c r="I53" i="4"/>
  <c r="H53" i="4"/>
  <c r="G53" i="4"/>
  <c r="W52" i="4"/>
  <c r="V52" i="4"/>
  <c r="U52" i="4"/>
  <c r="T52" i="4"/>
  <c r="S52" i="4"/>
  <c r="R52" i="4"/>
  <c r="Q52" i="4"/>
  <c r="P52" i="4"/>
  <c r="O52" i="4"/>
  <c r="N52" i="4"/>
  <c r="M52" i="4"/>
  <c r="L52" i="4"/>
  <c r="K52" i="4"/>
  <c r="J52" i="4"/>
  <c r="I52" i="4"/>
  <c r="H52" i="4"/>
  <c r="G52" i="4"/>
  <c r="W51" i="4"/>
  <c r="V51" i="4"/>
  <c r="U51" i="4"/>
  <c r="T51" i="4"/>
  <c r="S51" i="4"/>
  <c r="R51" i="4"/>
  <c r="Q51" i="4"/>
  <c r="P51" i="4"/>
  <c r="O51" i="4"/>
  <c r="N51" i="4"/>
  <c r="M51" i="4"/>
  <c r="L51" i="4"/>
  <c r="K51" i="4"/>
  <c r="J51" i="4"/>
  <c r="I51" i="4"/>
  <c r="H51" i="4"/>
  <c r="G51" i="4"/>
  <c r="W50" i="4"/>
  <c r="V50" i="4"/>
  <c r="U50" i="4"/>
  <c r="T50" i="4"/>
  <c r="S50" i="4"/>
  <c r="R50" i="4"/>
  <c r="Q50" i="4"/>
  <c r="P50" i="4"/>
  <c r="O50" i="4"/>
  <c r="N50" i="4"/>
  <c r="M50" i="4"/>
  <c r="L50" i="4"/>
  <c r="K50" i="4"/>
  <c r="J50" i="4"/>
  <c r="I50" i="4"/>
  <c r="H50" i="4"/>
  <c r="G50" i="4"/>
  <c r="W49" i="4"/>
  <c r="V49" i="4"/>
  <c r="U49" i="4"/>
  <c r="T49" i="4"/>
  <c r="S49" i="4"/>
  <c r="R49" i="4"/>
  <c r="Q49" i="4"/>
  <c r="P49" i="4"/>
  <c r="O49" i="4"/>
  <c r="N49" i="4"/>
  <c r="M49" i="4"/>
  <c r="L49" i="4"/>
  <c r="K49" i="4"/>
  <c r="J49" i="4"/>
  <c r="I49" i="4"/>
  <c r="H49" i="4"/>
  <c r="G49" i="4"/>
  <c r="W48" i="4"/>
  <c r="V48" i="4"/>
  <c r="U48" i="4"/>
  <c r="T48" i="4"/>
  <c r="S48" i="4"/>
  <c r="R48" i="4"/>
  <c r="Q48" i="4"/>
  <c r="P48" i="4"/>
  <c r="O48" i="4"/>
  <c r="N48" i="4"/>
  <c r="M48" i="4"/>
  <c r="L48" i="4"/>
  <c r="K48" i="4"/>
  <c r="J48" i="4"/>
  <c r="I48" i="4"/>
  <c r="H48" i="4"/>
  <c r="G48" i="4"/>
  <c r="W47" i="4"/>
  <c r="V47" i="4"/>
  <c r="U47" i="4"/>
  <c r="T47" i="4"/>
  <c r="S47" i="4"/>
  <c r="R47" i="4"/>
  <c r="Q47" i="4"/>
  <c r="P47" i="4"/>
  <c r="O47" i="4"/>
  <c r="N47" i="4"/>
  <c r="M47" i="4"/>
  <c r="L47" i="4"/>
  <c r="K47" i="4"/>
  <c r="J47" i="4"/>
  <c r="I47" i="4"/>
  <c r="H47" i="4"/>
  <c r="G47" i="4"/>
  <c r="W46" i="4"/>
  <c r="V46" i="4"/>
  <c r="U46" i="4"/>
  <c r="T46" i="4"/>
  <c r="S46" i="4"/>
  <c r="R46" i="4"/>
  <c r="Q46" i="4"/>
  <c r="P46" i="4"/>
  <c r="O46" i="4"/>
  <c r="N46" i="4"/>
  <c r="M46" i="4"/>
  <c r="L46" i="4"/>
  <c r="K46" i="4"/>
  <c r="J46" i="4"/>
  <c r="I46" i="4"/>
  <c r="H46" i="4"/>
  <c r="G46" i="4"/>
  <c r="W45" i="4"/>
  <c r="V45" i="4"/>
  <c r="U45" i="4"/>
  <c r="T45" i="4"/>
  <c r="S45" i="4"/>
  <c r="R45" i="4"/>
  <c r="Q45" i="4"/>
  <c r="P45" i="4"/>
  <c r="O45" i="4"/>
  <c r="N45" i="4"/>
  <c r="M45" i="4"/>
  <c r="L45" i="4"/>
  <c r="K45" i="4"/>
  <c r="J45" i="4"/>
  <c r="I45" i="4"/>
  <c r="H45" i="4"/>
  <c r="G45" i="4"/>
  <c r="W44" i="4"/>
  <c r="V44" i="4"/>
  <c r="U44" i="4"/>
  <c r="T44" i="4"/>
  <c r="S44" i="4"/>
  <c r="R44" i="4"/>
  <c r="Q44" i="4"/>
  <c r="P44" i="4"/>
  <c r="O44" i="4"/>
  <c r="N44" i="4"/>
  <c r="M44" i="4"/>
  <c r="L44" i="4"/>
  <c r="K44" i="4"/>
  <c r="J44" i="4"/>
  <c r="I44" i="4"/>
  <c r="H44" i="4"/>
  <c r="G44" i="4"/>
  <c r="W43" i="4"/>
  <c r="V43" i="4"/>
  <c r="U43" i="4"/>
  <c r="T43" i="4"/>
  <c r="S43" i="4"/>
  <c r="R43" i="4"/>
  <c r="Q43" i="4"/>
  <c r="P43" i="4"/>
  <c r="O43" i="4"/>
  <c r="N43" i="4"/>
  <c r="M43" i="4"/>
  <c r="L43" i="4"/>
  <c r="K43" i="4"/>
  <c r="J43" i="4"/>
  <c r="I43" i="4"/>
  <c r="H43" i="4"/>
  <c r="G43" i="4"/>
  <c r="W42" i="4"/>
  <c r="V42" i="4"/>
  <c r="U42" i="4"/>
  <c r="T42" i="4"/>
  <c r="S42" i="4"/>
  <c r="R42" i="4"/>
  <c r="Q42" i="4"/>
  <c r="P42" i="4"/>
  <c r="O42" i="4"/>
  <c r="N42" i="4"/>
  <c r="M42" i="4"/>
  <c r="L42" i="4"/>
  <c r="K42" i="4"/>
  <c r="J42" i="4"/>
  <c r="I42" i="4"/>
  <c r="H42" i="4"/>
  <c r="G42" i="4"/>
  <c r="W41" i="4"/>
  <c r="V41" i="4"/>
  <c r="U41" i="4"/>
  <c r="T41" i="4"/>
  <c r="S41" i="4"/>
  <c r="R41" i="4"/>
  <c r="Q41" i="4"/>
  <c r="P41" i="4"/>
  <c r="O41" i="4"/>
  <c r="N41" i="4"/>
  <c r="M41" i="4"/>
  <c r="L41" i="4"/>
  <c r="K41" i="4"/>
  <c r="J41" i="4"/>
  <c r="I41" i="4"/>
  <c r="H41" i="4"/>
  <c r="G41" i="4"/>
  <c r="W40" i="4"/>
  <c r="V40" i="4"/>
  <c r="U40" i="4"/>
  <c r="T40" i="4"/>
  <c r="S40" i="4"/>
  <c r="R40" i="4"/>
  <c r="Q40" i="4"/>
  <c r="P40" i="4"/>
  <c r="O40" i="4"/>
  <c r="N40" i="4"/>
  <c r="M40" i="4"/>
  <c r="L40" i="4"/>
  <c r="K40" i="4"/>
  <c r="J40" i="4"/>
  <c r="I40" i="4"/>
  <c r="H40" i="4"/>
  <c r="G40" i="4"/>
  <c r="W39" i="4"/>
  <c r="V39" i="4"/>
  <c r="U39" i="4"/>
  <c r="T39" i="4"/>
  <c r="S39" i="4"/>
  <c r="R39" i="4"/>
  <c r="Q39" i="4"/>
  <c r="P39" i="4"/>
  <c r="O39" i="4"/>
  <c r="N39" i="4"/>
  <c r="M39" i="4"/>
  <c r="L39" i="4"/>
  <c r="K39" i="4"/>
  <c r="J39" i="4"/>
  <c r="I39" i="4"/>
  <c r="H39" i="4"/>
  <c r="G39" i="4"/>
  <c r="W38" i="4"/>
  <c r="V38" i="4"/>
  <c r="U38" i="4"/>
  <c r="T38" i="4"/>
  <c r="S38" i="4"/>
  <c r="R38" i="4"/>
  <c r="Q38" i="4"/>
  <c r="P38" i="4"/>
  <c r="O38" i="4"/>
  <c r="N38" i="4"/>
  <c r="M38" i="4"/>
  <c r="L38" i="4"/>
  <c r="K38" i="4"/>
  <c r="J38" i="4"/>
  <c r="I38" i="4"/>
  <c r="H38" i="4"/>
  <c r="G38" i="4"/>
  <c r="W37" i="4"/>
  <c r="V37" i="4"/>
  <c r="U37" i="4"/>
  <c r="T37" i="4"/>
  <c r="S37" i="4"/>
  <c r="R37" i="4"/>
  <c r="Q37" i="4"/>
  <c r="P37" i="4"/>
  <c r="O37" i="4"/>
  <c r="N37" i="4"/>
  <c r="M37" i="4"/>
  <c r="L37" i="4"/>
  <c r="K37" i="4"/>
  <c r="J37" i="4"/>
  <c r="I37" i="4"/>
  <c r="H37" i="4"/>
  <c r="G37" i="4"/>
  <c r="W36" i="4"/>
  <c r="V36" i="4"/>
  <c r="U36" i="4"/>
  <c r="T36" i="4"/>
  <c r="S36" i="4"/>
  <c r="R36" i="4"/>
  <c r="Q36" i="4"/>
  <c r="P36" i="4"/>
  <c r="O36" i="4"/>
  <c r="N36" i="4"/>
  <c r="M36" i="4"/>
  <c r="L36" i="4"/>
  <c r="K36" i="4"/>
  <c r="J36" i="4"/>
  <c r="I36" i="4"/>
  <c r="H36" i="4"/>
  <c r="G36" i="4"/>
  <c r="W35" i="4"/>
  <c r="V35" i="4"/>
  <c r="U35" i="4"/>
  <c r="T35" i="4"/>
  <c r="S35" i="4"/>
  <c r="R35" i="4"/>
  <c r="Q35" i="4"/>
  <c r="P35" i="4"/>
  <c r="O35" i="4"/>
  <c r="N35" i="4"/>
  <c r="M35" i="4"/>
  <c r="L35" i="4"/>
  <c r="K35" i="4"/>
  <c r="J35" i="4"/>
  <c r="I35" i="4"/>
  <c r="H35" i="4"/>
  <c r="G35" i="4"/>
  <c r="W34" i="4"/>
  <c r="V34" i="4"/>
  <c r="U34" i="4"/>
  <c r="T34" i="4"/>
  <c r="S34" i="4"/>
  <c r="R34" i="4"/>
  <c r="Q34" i="4"/>
  <c r="P34" i="4"/>
  <c r="O34" i="4"/>
  <c r="N34" i="4"/>
  <c r="M34" i="4"/>
  <c r="L34" i="4"/>
  <c r="K34" i="4"/>
  <c r="J34" i="4"/>
  <c r="I34" i="4"/>
  <c r="H34" i="4"/>
  <c r="G34" i="4"/>
  <c r="W33" i="4"/>
  <c r="V33" i="4"/>
  <c r="U33" i="4"/>
  <c r="T33" i="4"/>
  <c r="S33" i="4"/>
  <c r="R33" i="4"/>
  <c r="Q33" i="4"/>
  <c r="P33" i="4"/>
  <c r="O33" i="4"/>
  <c r="N33" i="4"/>
  <c r="M33" i="4"/>
  <c r="L33" i="4"/>
  <c r="K33" i="4"/>
  <c r="J33" i="4"/>
  <c r="I33" i="4"/>
  <c r="H33" i="4"/>
  <c r="G33" i="4"/>
  <c r="W32" i="4"/>
  <c r="V32" i="4"/>
  <c r="U32" i="4"/>
  <c r="T32" i="4"/>
  <c r="S32" i="4"/>
  <c r="R32" i="4"/>
  <c r="Q32" i="4"/>
  <c r="P32" i="4"/>
  <c r="O32" i="4"/>
  <c r="N32" i="4"/>
  <c r="M32" i="4"/>
  <c r="L32" i="4"/>
  <c r="K32" i="4"/>
  <c r="J32" i="4"/>
  <c r="I32" i="4"/>
  <c r="H32" i="4"/>
  <c r="G32" i="4"/>
  <c r="W31" i="4"/>
  <c r="V31" i="4"/>
  <c r="U31" i="4"/>
  <c r="T31" i="4"/>
  <c r="S31" i="4"/>
  <c r="R31" i="4"/>
  <c r="Q31" i="4"/>
  <c r="P31" i="4"/>
  <c r="O31" i="4"/>
  <c r="N31" i="4"/>
  <c r="M31" i="4"/>
  <c r="L31" i="4"/>
  <c r="K31" i="4"/>
  <c r="J31" i="4"/>
  <c r="I31" i="4"/>
  <c r="H31" i="4"/>
  <c r="G31" i="4"/>
  <c r="W30" i="4"/>
  <c r="V30" i="4"/>
  <c r="U30" i="4"/>
  <c r="T30" i="4"/>
  <c r="S30" i="4"/>
  <c r="R30" i="4"/>
  <c r="Q30" i="4"/>
  <c r="P30" i="4"/>
  <c r="O30" i="4"/>
  <c r="N30" i="4"/>
  <c r="M30" i="4"/>
  <c r="L30" i="4"/>
  <c r="K30" i="4"/>
  <c r="J30" i="4"/>
  <c r="I30" i="4"/>
  <c r="H30" i="4"/>
  <c r="G30" i="4"/>
  <c r="W29" i="4"/>
  <c r="V29" i="4"/>
  <c r="U29" i="4"/>
  <c r="T29" i="4"/>
  <c r="S29" i="4"/>
  <c r="R29" i="4"/>
  <c r="Q29" i="4"/>
  <c r="P29" i="4"/>
  <c r="O29" i="4"/>
  <c r="N29" i="4"/>
  <c r="M29" i="4"/>
  <c r="L29" i="4"/>
  <c r="K29" i="4"/>
  <c r="J29" i="4"/>
  <c r="I29" i="4"/>
  <c r="H29" i="4"/>
  <c r="G29" i="4"/>
  <c r="W28" i="4"/>
  <c r="V28" i="4"/>
  <c r="U28" i="4"/>
  <c r="T28" i="4"/>
  <c r="S28" i="4"/>
  <c r="R28" i="4"/>
  <c r="Q28" i="4"/>
  <c r="P28" i="4"/>
  <c r="O28" i="4"/>
  <c r="N28" i="4"/>
  <c r="M28" i="4"/>
  <c r="L28" i="4"/>
  <c r="K28" i="4"/>
  <c r="J28" i="4"/>
  <c r="I28" i="4"/>
  <c r="H28" i="4"/>
  <c r="G28" i="4"/>
  <c r="W27" i="4"/>
  <c r="V27" i="4"/>
  <c r="U27" i="4"/>
  <c r="T27" i="4"/>
  <c r="S27" i="4"/>
  <c r="R27" i="4"/>
  <c r="Q27" i="4"/>
  <c r="P27" i="4"/>
  <c r="O27" i="4"/>
  <c r="N27" i="4"/>
  <c r="M27" i="4"/>
  <c r="L27" i="4"/>
  <c r="K27" i="4"/>
  <c r="J27" i="4"/>
  <c r="I27" i="4"/>
  <c r="H27" i="4"/>
  <c r="G27" i="4"/>
  <c r="W26" i="4"/>
  <c r="V26" i="4"/>
  <c r="U26" i="4"/>
  <c r="T26" i="4"/>
  <c r="S26" i="4"/>
  <c r="R26" i="4"/>
  <c r="Q26" i="4"/>
  <c r="P26" i="4"/>
  <c r="O26" i="4"/>
  <c r="N26" i="4"/>
  <c r="M26" i="4"/>
  <c r="L26" i="4"/>
  <c r="K26" i="4"/>
  <c r="J26" i="4"/>
  <c r="I26" i="4"/>
  <c r="H26" i="4"/>
  <c r="G26" i="4"/>
  <c r="W25" i="4"/>
  <c r="V25" i="4"/>
  <c r="U25" i="4"/>
  <c r="T25" i="4"/>
  <c r="S25" i="4"/>
  <c r="R25" i="4"/>
  <c r="Q25" i="4"/>
  <c r="P25" i="4"/>
  <c r="O25" i="4"/>
  <c r="N25" i="4"/>
  <c r="M25" i="4"/>
  <c r="L25" i="4"/>
  <c r="K25" i="4"/>
  <c r="J25" i="4"/>
  <c r="I25" i="4"/>
  <c r="H25" i="4"/>
  <c r="G25" i="4"/>
  <c r="W24" i="4"/>
  <c r="V24" i="4"/>
  <c r="U24" i="4"/>
  <c r="T24" i="4"/>
  <c r="S24" i="4"/>
  <c r="R24" i="4"/>
  <c r="Q24" i="4"/>
  <c r="P24" i="4"/>
  <c r="O24" i="4"/>
  <c r="N24" i="4"/>
  <c r="M24" i="4"/>
  <c r="L24" i="4"/>
  <c r="K24" i="4"/>
  <c r="J24" i="4"/>
  <c r="I24" i="4"/>
  <c r="H24" i="4"/>
  <c r="G24" i="4"/>
  <c r="W23" i="4"/>
  <c r="V23" i="4"/>
  <c r="U23" i="4"/>
  <c r="T23" i="4"/>
  <c r="S23" i="4"/>
  <c r="R23" i="4"/>
  <c r="Q23" i="4"/>
  <c r="P23" i="4"/>
  <c r="O23" i="4"/>
  <c r="N23" i="4"/>
  <c r="M23" i="4"/>
  <c r="L23" i="4"/>
  <c r="K23" i="4"/>
  <c r="J23" i="4"/>
  <c r="I23" i="4"/>
  <c r="H23" i="4"/>
  <c r="G23" i="4"/>
  <c r="W22" i="4"/>
  <c r="V22" i="4"/>
  <c r="U22" i="4"/>
  <c r="T22" i="4"/>
  <c r="S22" i="4"/>
  <c r="R22" i="4"/>
  <c r="Q22" i="4"/>
  <c r="P22" i="4"/>
  <c r="O22" i="4"/>
  <c r="N22" i="4"/>
  <c r="M22" i="4"/>
  <c r="L22" i="4"/>
  <c r="K22" i="4"/>
  <c r="J22" i="4"/>
  <c r="I22" i="4"/>
  <c r="H22" i="4"/>
  <c r="G22" i="4"/>
  <c r="W21" i="4"/>
  <c r="V21" i="4"/>
  <c r="U21" i="4"/>
  <c r="T21" i="4"/>
  <c r="S21" i="4"/>
  <c r="R21" i="4"/>
  <c r="Q21" i="4"/>
  <c r="P21" i="4"/>
  <c r="O21" i="4"/>
  <c r="N21" i="4"/>
  <c r="M21" i="4"/>
  <c r="L21" i="4"/>
  <c r="K21" i="4"/>
  <c r="J21" i="4"/>
  <c r="I21" i="4"/>
  <c r="H21" i="4"/>
  <c r="G21" i="4"/>
  <c r="W20" i="4"/>
  <c r="V20" i="4"/>
  <c r="U20" i="4"/>
  <c r="T20" i="4"/>
  <c r="S20" i="4"/>
  <c r="R20" i="4"/>
  <c r="Q20" i="4"/>
  <c r="P20" i="4"/>
  <c r="O20" i="4"/>
  <c r="N20" i="4"/>
  <c r="M20" i="4"/>
  <c r="L20" i="4"/>
  <c r="K20" i="4"/>
  <c r="J20" i="4"/>
  <c r="I20" i="4"/>
  <c r="H20" i="4"/>
  <c r="G20" i="4"/>
  <c r="W19" i="4"/>
  <c r="V19" i="4"/>
  <c r="U19" i="4"/>
  <c r="T19" i="4"/>
  <c r="S19" i="4"/>
  <c r="R19" i="4"/>
  <c r="Q19" i="4"/>
  <c r="P19" i="4"/>
  <c r="O19" i="4"/>
  <c r="N19" i="4"/>
  <c r="M19" i="4"/>
  <c r="L19" i="4"/>
  <c r="K19" i="4"/>
  <c r="J19" i="4"/>
  <c r="I19" i="4"/>
  <c r="H19" i="4"/>
  <c r="G19" i="4"/>
  <c r="W18" i="4"/>
  <c r="V18" i="4"/>
  <c r="U18" i="4"/>
  <c r="T18" i="4"/>
  <c r="S18" i="4"/>
  <c r="R18" i="4"/>
  <c r="Q18" i="4"/>
  <c r="P18" i="4"/>
  <c r="O18" i="4"/>
  <c r="N18" i="4"/>
  <c r="M18" i="4"/>
  <c r="L18" i="4"/>
  <c r="K18" i="4"/>
  <c r="J18" i="4"/>
  <c r="I18" i="4"/>
  <c r="H18" i="4"/>
  <c r="G18" i="4"/>
  <c r="W17" i="4"/>
  <c r="V17" i="4"/>
  <c r="U17" i="4"/>
  <c r="T17" i="4"/>
  <c r="S17" i="4"/>
  <c r="R17" i="4"/>
  <c r="Q17" i="4"/>
  <c r="P17" i="4"/>
  <c r="O17" i="4"/>
  <c r="N17" i="4"/>
  <c r="M17" i="4"/>
  <c r="L17" i="4"/>
  <c r="K17" i="4"/>
  <c r="J17" i="4"/>
  <c r="I17" i="4"/>
  <c r="H17" i="4"/>
  <c r="G17" i="4"/>
  <c r="W16" i="4"/>
  <c r="V16" i="4"/>
  <c r="U16" i="4"/>
  <c r="T16" i="4"/>
  <c r="S16" i="4"/>
  <c r="R16" i="4"/>
  <c r="Q16" i="4"/>
  <c r="P16" i="4"/>
  <c r="O16" i="4"/>
  <c r="N16" i="4"/>
  <c r="M16" i="4"/>
  <c r="L16" i="4"/>
  <c r="K16" i="4"/>
  <c r="J16" i="4"/>
  <c r="I16" i="4"/>
  <c r="H16" i="4"/>
  <c r="G16" i="4"/>
  <c r="W15" i="4"/>
  <c r="V15" i="4"/>
  <c r="U15" i="4"/>
  <c r="T15" i="4"/>
  <c r="S15" i="4"/>
  <c r="R15" i="4"/>
  <c r="Q15" i="4"/>
  <c r="P15" i="4"/>
  <c r="O15" i="4"/>
  <c r="N15" i="4"/>
  <c r="M15" i="4"/>
  <c r="L15" i="4"/>
  <c r="K15" i="4"/>
  <c r="J15" i="4"/>
  <c r="I15" i="4"/>
  <c r="H15" i="4"/>
  <c r="G15" i="4"/>
  <c r="W14" i="4"/>
  <c r="V14" i="4"/>
  <c r="U14" i="4"/>
  <c r="T14" i="4"/>
  <c r="S14" i="4"/>
  <c r="R14" i="4"/>
  <c r="Q14" i="4"/>
  <c r="P14" i="4"/>
  <c r="O14" i="4"/>
  <c r="N14" i="4"/>
  <c r="M14" i="4"/>
  <c r="L14" i="4"/>
  <c r="K14" i="4"/>
  <c r="J14" i="4"/>
  <c r="I14" i="4"/>
  <c r="H14" i="4"/>
  <c r="G14" i="4"/>
  <c r="W13" i="4"/>
  <c r="V13" i="4"/>
  <c r="U13" i="4"/>
  <c r="T13" i="4"/>
  <c r="S13" i="4"/>
  <c r="R13" i="4"/>
  <c r="Q13" i="4"/>
  <c r="P13" i="4"/>
  <c r="O13" i="4"/>
  <c r="N13" i="4"/>
  <c r="M13" i="4"/>
  <c r="L13" i="4"/>
  <c r="K13" i="4"/>
  <c r="J13" i="4"/>
  <c r="I13" i="4"/>
  <c r="H13" i="4"/>
  <c r="G13" i="4"/>
  <c r="W12" i="4"/>
  <c r="V12" i="4"/>
  <c r="U12" i="4"/>
  <c r="T12" i="4"/>
  <c r="S12" i="4"/>
  <c r="R12" i="4"/>
  <c r="Q12" i="4"/>
  <c r="P12" i="4"/>
  <c r="O12" i="4"/>
  <c r="N12" i="4"/>
  <c r="M12" i="4"/>
  <c r="L12" i="4"/>
  <c r="K12" i="4"/>
  <c r="J12" i="4"/>
  <c r="I12" i="4"/>
  <c r="H12" i="4"/>
  <c r="G12" i="4"/>
  <c r="W11" i="4"/>
  <c r="V11" i="4"/>
  <c r="U11" i="4"/>
  <c r="T11" i="4"/>
  <c r="S11" i="4"/>
  <c r="R11" i="4"/>
  <c r="Q11" i="4"/>
  <c r="P11" i="4"/>
  <c r="O11" i="4"/>
  <c r="N11" i="4"/>
  <c r="M11" i="4"/>
  <c r="L11" i="4"/>
  <c r="K11" i="4"/>
  <c r="J11" i="4"/>
  <c r="I11" i="4"/>
  <c r="H11" i="4"/>
  <c r="G11" i="4"/>
  <c r="W10" i="4"/>
  <c r="V10" i="4"/>
  <c r="U10" i="4"/>
  <c r="T10" i="4"/>
  <c r="S10" i="4"/>
  <c r="R10" i="4"/>
  <c r="Q10" i="4"/>
  <c r="P10" i="4"/>
  <c r="O10" i="4"/>
  <c r="N10" i="4"/>
  <c r="M10" i="4"/>
  <c r="L10" i="4"/>
  <c r="K10" i="4"/>
  <c r="J10" i="4"/>
  <c r="I10" i="4"/>
  <c r="H10" i="4"/>
  <c r="G10" i="4"/>
  <c r="W9" i="4"/>
  <c r="V9" i="4"/>
  <c r="U9" i="4"/>
  <c r="T9" i="4"/>
  <c r="S9" i="4"/>
  <c r="R9" i="4"/>
  <c r="Q9" i="4"/>
  <c r="P9" i="4"/>
  <c r="O9" i="4"/>
  <c r="N9" i="4"/>
  <c r="M9" i="4"/>
  <c r="L9" i="4"/>
  <c r="K9" i="4"/>
  <c r="J9" i="4"/>
  <c r="I9" i="4"/>
  <c r="H9" i="4"/>
  <c r="G9" i="4"/>
  <c r="W8" i="4"/>
  <c r="V8" i="4"/>
  <c r="U8" i="4"/>
  <c r="T8" i="4"/>
  <c r="S8" i="4"/>
  <c r="R8" i="4"/>
  <c r="Q8" i="4"/>
  <c r="P8" i="4"/>
  <c r="O8" i="4"/>
  <c r="N8" i="4"/>
  <c r="M8" i="4"/>
  <c r="L8" i="4"/>
  <c r="K8" i="4"/>
  <c r="J8" i="4"/>
  <c r="I8" i="4"/>
  <c r="H8" i="4"/>
  <c r="G8" i="4"/>
  <c r="W7" i="4"/>
  <c r="V7" i="4"/>
  <c r="U7" i="4"/>
  <c r="T7" i="4"/>
  <c r="S7" i="4"/>
  <c r="R7" i="4"/>
  <c r="Q7" i="4"/>
  <c r="P7" i="4"/>
  <c r="O7" i="4"/>
  <c r="N7" i="4"/>
  <c r="M7" i="4"/>
  <c r="L7" i="4"/>
  <c r="K7" i="4"/>
  <c r="J7" i="4"/>
  <c r="I7" i="4"/>
  <c r="H7" i="4"/>
  <c r="G7" i="4"/>
  <c r="W6" i="4"/>
  <c r="V6" i="4"/>
  <c r="U6" i="4"/>
  <c r="T6" i="4"/>
  <c r="S6" i="4"/>
  <c r="R6" i="4"/>
  <c r="Q6" i="4"/>
  <c r="P6" i="4"/>
  <c r="O6" i="4"/>
  <c r="N6" i="4"/>
  <c r="M6" i="4"/>
  <c r="L6" i="4"/>
  <c r="K6" i="4"/>
  <c r="J6" i="4"/>
  <c r="I6" i="4"/>
  <c r="H6" i="4"/>
  <c r="G6" i="4"/>
  <c r="W5" i="4"/>
  <c r="V5" i="4"/>
  <c r="U5" i="4"/>
  <c r="T5" i="4"/>
  <c r="S5" i="4"/>
  <c r="R5" i="4"/>
  <c r="Q5" i="4"/>
  <c r="P5" i="4"/>
  <c r="O5" i="4"/>
  <c r="N5" i="4"/>
  <c r="M5" i="4"/>
  <c r="L5" i="4"/>
  <c r="K5" i="4"/>
  <c r="J5" i="4"/>
  <c r="I5" i="4"/>
  <c r="H5" i="4"/>
  <c r="G5" i="4"/>
  <c r="J102" i="2"/>
  <c r="I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D7" i="5" s="1"/>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D4" i="5" s="1"/>
  <c r="M5" i="2"/>
  <c r="L5" i="2"/>
  <c r="M4" i="2"/>
  <c r="L4" i="2"/>
  <c r="M3" i="2"/>
  <c r="M102" i="2" s="1"/>
  <c r="L3" i="2"/>
  <c r="L102" i="2" s="1"/>
  <c r="M2" i="2"/>
  <c r="B13" i="5" s="1"/>
  <c r="L2" i="2"/>
  <c r="J202" i="1"/>
  <c r="I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2" i="1"/>
  <c r="L12" i="1"/>
  <c r="M11" i="1"/>
  <c r="L11" i="1"/>
  <c r="M10" i="1"/>
  <c r="L10" i="1"/>
  <c r="M9" i="1"/>
  <c r="L9" i="1"/>
  <c r="M8" i="1"/>
  <c r="L8" i="1"/>
  <c r="M7" i="1"/>
  <c r="L7" i="1"/>
  <c r="M6" i="1"/>
  <c r="L6" i="1"/>
  <c r="M5" i="1"/>
  <c r="L5" i="1"/>
  <c r="M4" i="1"/>
  <c r="L4" i="1"/>
  <c r="M3" i="1"/>
  <c r="L3" i="1"/>
  <c r="M2" i="1"/>
  <c r="M202" i="1" s="1"/>
  <c r="L2" i="1"/>
  <c r="L202" i="1" s="1"/>
  <c r="D8" i="5" l="1"/>
  <c r="D11" i="5" s="1"/>
</calcChain>
</file>

<file path=xl/sharedStrings.xml><?xml version="1.0" encoding="utf-8"?>
<sst xmlns="http://schemas.openxmlformats.org/spreadsheetml/2006/main" count="1909" uniqueCount="452">
  <si>
    <t>ID</t>
  </si>
  <si>
    <t>Nombre</t>
  </si>
  <si>
    <t>Descripción</t>
  </si>
  <si>
    <t>Tipo</t>
  </si>
  <si>
    <t>Prioridad</t>
  </si>
  <si>
    <t>Estado</t>
  </si>
  <si>
    <t>Solicitado por</t>
  </si>
  <si>
    <t>Fecha solicitud</t>
  </si>
  <si>
    <t>Estimación (h)</t>
  </si>
  <si>
    <t>Horas reales</t>
  </si>
  <si>
    <t>Tarifa/h ($)</t>
  </si>
  <si>
    <t>Valor estimado ($)</t>
  </si>
  <si>
    <t>Valor a facturar ($)</t>
  </si>
  <si>
    <t>Aprobado por</t>
  </si>
  <si>
    <t>Fecha aprobación</t>
  </si>
  <si>
    <t>N.º factura</t>
  </si>
  <si>
    <t>Notas</t>
  </si>
  <si>
    <t>REQ-001</t>
  </si>
  <si>
    <t>Autenticación de administrador por OTP de WhatsApp</t>
  </si>
  <si>
    <t>Login del portal admin por código OTP enviado por WhatsApp.</t>
  </si>
  <si>
    <t>Nuevo</t>
  </si>
  <si>
    <t>Alta</t>
  </si>
  <si>
    <t>Entregado</t>
  </si>
  <si>
    <t>GHT (alcance base MVP)</t>
  </si>
  <si>
    <t>2026-06-12</t>
  </si>
  <si>
    <t>GHT</t>
  </si>
  <si>
    <t>Alcance base MVP (no facturable T&amp;M) · Ref: Base 06,04</t>
  </si>
  <si>
    <t>REQ-002</t>
  </si>
  <si>
    <t>Identidad y matrícula de participantes</t>
  </si>
  <si>
    <t>Reconocer al participante por su número y validar matrícula/actividad.</t>
  </si>
  <si>
    <t>Alcance base MVP (no facturable T&amp;M) · Ref: Base 06</t>
  </si>
  <si>
    <t>REQ-003</t>
  </si>
  <si>
    <t>Gestión de campañas, usuarios y preguntas</t>
  </si>
  <si>
    <t>CRUD de usuarios, campañas, preguntas y tags con asociación de participantes.</t>
  </si>
  <si>
    <t>Cerrado</t>
  </si>
  <si>
    <t>Facturado</t>
  </si>
  <si>
    <t>Alcance base MVP (facturado como MVP base) · Ref: Base 07,11,04</t>
  </si>
  <si>
    <t>REQ-004</t>
  </si>
  <si>
    <t>Envío de mensajes iniciales por WhatsApp</t>
  </si>
  <si>
    <t>Envío inicial con reenvío a no respondieron y reintento de fallidos.</t>
  </si>
  <si>
    <t>Alcance base MVP (facturado como MVP base) · Ref: Base 05,07</t>
  </si>
  <si>
    <t>REQ-005</t>
  </si>
  <si>
    <t>Captura conversacional y consolidación progresiva</t>
  </si>
  <si>
    <t>Orquestador WhatsApp: paráfrasis, confirmación, consolidación y enrutamiento.</t>
  </si>
  <si>
    <t>Alcance base MVP (facturado como MVP base) · Ref: Base 05</t>
  </si>
  <si>
    <t>REQ-006</t>
  </si>
  <si>
    <t>Rúbricas, prompts versionados y configuración LLM</t>
  </si>
  <si>
    <t>Rúbrica Markdown versionada, prompts aprobados y config LLM con API key segura.</t>
  </si>
  <si>
    <t>Alcance base MVP (facturado como MVP base) · Ref: Base 07,10</t>
  </si>
  <si>
    <t>REQ-007</t>
  </si>
  <si>
    <t>Evaluación de ideas con LLM y retroalimentación</t>
  </si>
  <si>
    <t>Evaluación de la versión confirmada con rúbrica; retro corta y repregunta única.</t>
  </si>
  <si>
    <t>Alcance base MVP (facturado como MVP base) · Ref: Base 08,05</t>
  </si>
  <si>
    <t>REQ-008</t>
  </si>
  <si>
    <t>Compilación de artefactos Markdown por idea</t>
  </si>
  <si>
    <t>Markdown canónico por idea, consultable y regenerable.</t>
  </si>
  <si>
    <t>Media</t>
  </si>
  <si>
    <t>Alcance base MVP (facturado como MVP base) · Ref: Base 09</t>
  </si>
  <si>
    <t>REQ-009</t>
  </si>
  <si>
    <t>Portal administrativo Angular con marca GHT</t>
  </si>
  <si>
    <t>Portal admin Angular 22 que consume la API, con marca GHT.</t>
  </si>
  <si>
    <t>Alcance base MVP (facturado como MVP base) · Ref: Base 11,04</t>
  </si>
  <si>
    <t>REQ-010</t>
  </si>
  <si>
    <t>Seguridad, guardrails, trazabilidad y observabilidad</t>
  </si>
  <si>
    <t>Rate limiting, anti-injection, firma webhook, no fuga de secretos, telemetría.</t>
  </si>
  <si>
    <t>Alcance base MVP (facturado como MVP base) · Ref: Base 10</t>
  </si>
  <si>
    <t>REQ-011</t>
  </si>
  <si>
    <t>Plataforma base: arquitectura .NET 8, Cosmos, API REST y CI/CD</t>
  </si>
  <si>
    <t>Scaffolding modular, modelo Cosmos, contrato API y pipelines a Azure.</t>
  </si>
  <si>
    <t>Alcance base MVP (facturado como MVP base) · Ref: Base 02,03,04,12</t>
  </si>
  <si>
    <t>TOTALES</t>
  </si>
  <si>
    <t>Leyenda:</t>
  </si>
  <si>
    <t>• Celdas azules = tú las llenas. Celdas negras (Valor estimado / Valor a facturar) = fórmulas automáticas.</t>
  </si>
  <si>
    <t>• Valor estimado = Estimación (h) × Tarifa/h.   Valor a facturar = Horas reales × Tarifa/h.</t>
  </si>
  <si>
    <t>• Estado, Tipo y Prioridad tienen lista desplegable (ver hoja 'Listas').</t>
  </si>
  <si>
    <t>• Usa el mismo ID que el documento en Requerimientos/ (REQ-00X). Guarda evidencia en Aprobaciones/.</t>
  </si>
  <si>
    <t>Título</t>
  </si>
  <si>
    <t>I-03</t>
  </si>
  <si>
    <t>Follow-ups al eje débil</t>
  </si>
  <si>
    <t>Pista de foco al eje más débil de la rúbrica + filtro anti-fuga de rúbrica.</t>
  </si>
  <si>
    <t>DONE local 2026-07-21; D5 real pendiente · Ref: Especificaciones/Iniciativas/I-03_Followups_Eje_Debil.md</t>
  </si>
  <si>
    <t>I-05</t>
  </si>
  <si>
    <t>Paráfrasis y transparencia</t>
  </si>
  <si>
    <t>Paráfrasis de la idea (por campaña, solo tras umbral) con kill-switch.</t>
  </si>
  <si>
    <t>DONE local 2026-07-20; D5 pendiente · Ref: Especificaciones/Iniciativas/I-05_Parafraseo_Transparencia.md</t>
  </si>
  <si>
    <t>I-06</t>
  </si>
  <si>
    <t>Multi-idea (N registros)</t>
  </si>
  <si>
    <t>Varias ideas por participante como registros independientes (segmentación por campaña).</t>
  </si>
  <si>
    <t>Código DONE local 2026-07-15; flags OFF hasta D5/UAT/costo · Ref: Especificaciones/Iniciativas/I-06_Multi_Idea_N_Registros.md</t>
  </si>
  <si>
    <t>I-08</t>
  </si>
  <si>
    <t>Carga masiva de participantes</t>
  </si>
  <si>
    <t>Importación masiva con Área/Empresa/Tags y variables demográficas.</t>
  </si>
  <si>
    <t>Backend+UI DONE; extensión demográfica pendiente (Munir) · Ref: Especificaciones/Iniciativas/I-08_Carga_Masiva_Participantes.md</t>
  </si>
  <si>
    <t>I-09</t>
  </si>
  <si>
    <t>Tejido colectivo</t>
  </si>
  <si>
    <t>Conexión colectiva de ideas (base para ARMA/P-12).</t>
  </si>
  <si>
    <t>Baja</t>
  </si>
  <si>
    <t>Propuesto</t>
  </si>
  <si>
    <t>Core DONE local, flag OFF; DIFERIDA Capa 3 · Ref: Especificaciones/Iniciativas/I-09_Tejido_Colectivo.md</t>
  </si>
  <si>
    <t>I-10</t>
  </si>
  <si>
    <t>Flag base previa vs. en blanco</t>
  </si>
  <si>
    <t>UI de activación del tejido (base previa vs. en blanco).</t>
  </si>
  <si>
    <t>DIFERIDA con I-09 (Capa 3); campo en modelo OFF · Ref: Especificaciones/Iniciativas/I-10_Flag_Base_Previa_vs_Blanco.md</t>
  </si>
  <si>
    <t>I-12</t>
  </si>
  <si>
    <t>Seed thoughts</t>
  </si>
  <si>
    <t>Pensamientos semilla por campaña para orientar la captura.</t>
  </si>
  <si>
    <t>BLOCKED — insumo (seeds) vencido; escalar · Ref: Especificaciones/Iniciativas/I-12_Seed_Thoughts.md</t>
  </si>
  <si>
    <t>I-16</t>
  </si>
  <si>
    <t>Fix de calificación en Markdown</t>
  </si>
  <si>
    <t>El Markdown usa la evaluación más reciente por fecha.</t>
  </si>
  <si>
    <t>Bug</t>
  </si>
  <si>
    <t>DONE 2026-07-15 · Ref: Especificaciones/Iniciativas/I-16_Fix_Calificacion_Markdown.md</t>
  </si>
  <si>
    <t>I-17</t>
  </si>
  <si>
    <t>BD de dos niveles de madurez</t>
  </si>
  <si>
    <t>Clasifica cada respuesta maduro/incubación por umbral; paráfrasis solo si madura.</t>
  </si>
  <si>
    <t>DONE local 2026-07-22 (6/6); D5 pendiente · Ref: Especificaciones/Iniciativas/I-17_BD_Dos_Niveles_Madurez.md</t>
  </si>
  <si>
    <t>I-18</t>
  </si>
  <si>
    <t>Coaching secuencial por idea</t>
  </si>
  <si>
    <t>Afinar una idea a la vez con cola, contador y revisiones enlazadas.</t>
  </si>
  <si>
    <t>DONE local 2026-07-25; pendiente D5/UAT/costo · Ref: Especificaciones/Iniciativas/I-18_Coaching_Secuencial_Por_Idea.md</t>
  </si>
  <si>
    <t>I-19</t>
  </si>
  <si>
    <t>Consolidación progresiva de ideas</t>
  </si>
  <si>
    <t>Idea canónica con versiones; se evalúa la versión completa confirmada; cola/reapertura.</t>
  </si>
  <si>
    <t>DONE local 2026-07-28; pendiente D5/UAT/costo · Ref: Especificaciones/Iniciativas/I-19_Consolidacion_Progresiva_Ideas.md</t>
  </si>
  <si>
    <t>I-20</t>
  </si>
  <si>
    <t>Redacción fluida + Markdown ejecutivo</t>
  </si>
  <si>
    <t>Redactor LLM por acto controlado por servidor; Markdown con umbral/origen/escala.</t>
  </si>
  <si>
    <t>DONE local 2026-07-28; pendiente D5/UAT/costo · Ref: Especificaciones/Iniciativas/I-20_Redaccion_Conversacional_Fluida_y_Markdown_Ejecutivo.md</t>
  </si>
  <si>
    <t>P-03</t>
  </si>
  <si>
    <t>Reinicio de datos (participante/campaña)</t>
  </si>
  <si>
    <t>Reinicio por participante y por campaña conservando config/usuarios.</t>
  </si>
  <si>
    <t>DONE 2026-07-13/14; flag se apaga en freeze · Ref: Especificaciones/Iniciativas/P-03_Reiniciar_Conversacion.md</t>
  </si>
  <si>
    <t>P-04</t>
  </si>
  <si>
    <t>Dashboard de resultados</t>
  </si>
  <si>
    <t>Tablero de resultados en el portal.</t>
  </si>
  <si>
    <t>Diferida (no bloquea Hito) · Ref: Especificaciones/Iniciativas/P-04_Dashboard_Resultados.md</t>
  </si>
  <si>
    <t>P-05</t>
  </si>
  <si>
    <t>Capa de insights</t>
  </si>
  <si>
    <t>Capa de insights sobre resultados.</t>
  </si>
  <si>
    <t>Diferida post-convención · Ref: Especificaciones/Iniciativas/P-05_Capa_Insights.md</t>
  </si>
  <si>
    <t>P-06</t>
  </si>
  <si>
    <t>Destilación por lotes</t>
  </si>
  <si>
    <t>Destilación por lotes de ideas.</t>
  </si>
  <si>
    <t>Diferida post-convención · Ref: Especificaciones/Iniciativas/P-06_Destilacion_Por_Lotes.md</t>
  </si>
  <si>
    <t>P-07</t>
  </si>
  <si>
    <t>Consentimiento de datos</t>
  </si>
  <si>
    <t>Aviso/consentimiento de datos al participante.</t>
  </si>
  <si>
    <t>DIFERIDA (herramienta interna, IP GHT) · Ref: Especificaciones/Iniciativas/P-07_Consentimiento_Datos.md</t>
  </si>
  <si>
    <t>P-08</t>
  </si>
  <si>
    <t>Recordatorios / nudges</t>
  </si>
  <si>
    <t>Recordatorios a participantes.</t>
  </si>
  <si>
    <t>Diferida; requiere plantilla HSM · Ref: Especificaciones/Iniciativas/P-08_Recordatorios_Nudges.md</t>
  </si>
  <si>
    <t>P-09</t>
  </si>
  <si>
    <t>Monitoreo día D</t>
  </si>
  <si>
    <t>Health-check, logs de entrega, acta de flags y runbook (panel diferido).</t>
  </si>
  <si>
    <t>Cambio</t>
  </si>
  <si>
    <t>En curso</t>
  </si>
  <si>
    <t>Panel DIFERIDO; se conservan health-check + runbook · Ref: Especificaciones/Iniciativas/P-09_Monitoreo_Dia_D.md</t>
  </si>
  <si>
    <t>P-10</t>
  </si>
  <si>
    <t>Guardrails: cupos y costo</t>
  </si>
  <si>
    <t>Cupos, rate por número y costo LLM por campaña.</t>
  </si>
  <si>
    <t>Backend HECHO 2026-07-14; portal pendiente · Ref: Especificaciones/Iniciativas/P-10_Guardrails_Cupos_Costo.md</t>
  </si>
  <si>
    <t>P-11</t>
  </si>
  <si>
    <t>Informe consolidado</t>
  </si>
  <si>
    <t>Informe consolidado por campaña.</t>
  </si>
  <si>
    <t>Diferida (deseable) · Ref: Especificaciones/Iniciativas/P-11_Informe_Consolidado.md</t>
  </si>
  <si>
    <t>P-13</t>
  </si>
  <si>
    <t>Umbral de cierre por campaña</t>
  </si>
  <si>
    <t>Override de umbral de cierre por campaña + kill-switch.</t>
  </si>
  <si>
    <t>DONE local 2026-07-21; D5+calibración pendientes · Ref: Especificaciones/Iniciativas/P-13_Umbral_Cierre_Por_Campania.md</t>
  </si>
  <si>
    <t>P-14</t>
  </si>
  <si>
    <t>Lectura de rúbricas y prompts</t>
  </si>
  <si>
    <t>Vista de solo lectura de rúbricas/prompts en el portal.</t>
  </si>
  <si>
    <t>DONE local 2026-07-22; frontend-only · Ref: Especificaciones/Iniciativas/P-14_Lectura_Rubricas_Prompts.md</t>
  </si>
  <si>
    <t>P-15</t>
  </si>
  <si>
    <t>Refactor del orquestador conversacional</t>
  </si>
  <si>
    <t>Separar políticas/transición/efectos tras IOrquestadorConversacion (CAL-001).</t>
  </si>
  <si>
    <t>DONE local 2026-07-24 (remediación) · Ref: Especificaciones/Iniciativas/P-15_Refactor_Orquestador_Conversacional.md</t>
  </si>
  <si>
    <t>P-16</t>
  </si>
  <si>
    <t>Refactor de página de campañas</t>
  </si>
  <si>
    <t>Descomponer paneles de campañas (CAL-002).</t>
  </si>
  <si>
    <t>DONE local 2026-07-25 · Ref: Especificaciones/Iniciativas/P-16_Refactor_Pagina_Campanias.md</t>
  </si>
  <si>
    <t>P-17</t>
  </si>
  <si>
    <t>Errores de API uniformes</t>
  </si>
  <si>
    <t>ErrorRespuesta y correlación uniformes (API-001).</t>
  </si>
  <si>
    <t>DONE local 2026-07-24 · Ref: Especificaciones/Iniciativas/P-17_Errores_API_Uniformes.md</t>
  </si>
  <si>
    <t>P-18</t>
  </si>
  <si>
    <t>Controles con nombre accesible</t>
  </si>
  <si>
    <t>Nombres accesibles en selección, tags y CSV (UXA11Y-001).</t>
  </si>
  <si>
    <t>DONE local 2026-07-25 · Ref: Especificaciones/Iniciativas/P-18_Controles_Con_Nombre_Accesible.md</t>
  </si>
  <si>
    <t>P-19</t>
  </si>
  <si>
    <t>Estados dinámicos accesibles</t>
  </si>
  <si>
    <t>Errores y confirmaciones anunciados (UXA11Y-002).</t>
  </si>
  <si>
    <t>DONE local 2026-07-25 · Ref: Especificaciones/Iniciativas/P-19_Estados_Dinamicos_Accesibles.md</t>
  </si>
  <si>
    <t>P-20</t>
  </si>
  <si>
    <t>Pestañas accesibles de campañas</t>
  </si>
  <si>
    <t>Patrón ARIA y teclado de pestañas (UXA11Y-003).</t>
  </si>
  <si>
    <t>DONE local 2026-07-25 · Ref: Especificaciones/Iniciativas/P-20_Pestanas_Accesibles_Campanias.md</t>
  </si>
  <si>
    <t>P-21</t>
  </si>
  <si>
    <t>Multi-número de WhatsApp</t>
  </si>
  <si>
    <t>Responder por el número entrante; número saliente por campaña.</t>
  </si>
  <si>
    <t>DONE local 2026-07-25; backend 473/473 · Ref: Especificaciones/Iniciativas/P-21_Multi_Numero_WhatsApp.md</t>
  </si>
  <si>
    <t>P-22</t>
  </si>
  <si>
    <t>UX de campañas</t>
  </si>
  <si>
    <t>Mejoras de UX en campañas (frontend-only).</t>
  </si>
  <si>
    <t>DONE local 2026-07-25; 21/21 · Ref: Especificaciones/Iniciativas/P-22_UX_Campanias.md</t>
  </si>
  <si>
    <t>P-23</t>
  </si>
  <si>
    <t>UX de resultados</t>
  </si>
  <si>
    <t>Patrón maestro-detalle de resultados (frontend-only).</t>
  </si>
  <si>
    <t>DONE local 2026-07-25; 24/24 · Ref: Especificaciones/Iniciativas/P-23_UX_Resultados.md</t>
  </si>
  <si>
    <t>P-24</t>
  </si>
  <si>
    <t>Evaluación implícita al solicitar mejora</t>
  </si>
  <si>
    <t>Una petición de mejora confirma implícitamente y evalúa la versión completa.</t>
  </si>
  <si>
    <t>DONE local 2026-07-29; 579/579 · Ref: Especificaciones/Iniciativas/P-24_Evaluacion_Implicita_Al_Solicitar_Mejora.md</t>
  </si>
  <si>
    <t>P-25</t>
  </si>
  <si>
    <t>Coaching directo sin confirmación repetitiva</t>
  </si>
  <si>
    <t>Cada aporte consolida y evalúa en el mismo turno; confirmación mecánica solo como rollback.</t>
  </si>
  <si>
    <t>DONE local 2026-07-29; 583/583 · Ref: Especificaciones/Iniciativas/P-25_Coaching_Directo_Sin_Confirmacion_Repetitiva.md</t>
  </si>
  <si>
    <t>P-26</t>
  </si>
  <si>
    <t>Participación continua y selección de campaña</t>
  </si>
  <si>
    <t>Flag participación continua, selección campaña/pregunta, ciclos independientes y cupos móviles 24h.</t>
  </si>
  <si>
    <t>COMPLETA local 2026-07-31 (6/6 cortes); pendiente D5/UAT/costo · Ref: Especificaciones/Iniciativas/P-26_Participacion_Continua_y_Seleccion_de_Campania.md</t>
  </si>
  <si>
    <t>D5</t>
  </si>
  <si>
    <t>Banco de calibración</t>
  </si>
  <si>
    <t>Librería + golden set (24) + runner para calibrar la evaluación.</t>
  </si>
  <si>
    <t>DONE 2026-07-14; baseline real pendiente · Ref: Especificaciones/Iniciativas/D5_Banco_Calibracion.md</t>
  </si>
  <si>
    <t>REQ-012</t>
  </si>
  <si>
    <t>Despertar proactivo del coach</t>
  </si>
  <si>
    <t>El participante puede iniciar/reactivar la conversación aunque el sistema no le haya escrito o haya expirado por timeout. Prerrequisito de campañas continuas.</t>
  </si>
  <si>
    <t>Felipe Arango (GHT)</t>
  </si>
  <si>
    <t>2026-07-31</t>
  </si>
  <si>
    <t>Reunión 2026-07-31 (Felipe Arango). REQ: Nuevas iniciativas/REQ-012 · Spec: Especificaciones/Iniciativas/P-28_Despertar_Proactivo_Coach.md</t>
  </si>
  <si>
    <t>REQ-013</t>
  </si>
  <si>
    <t>Cierre conversacional por tiempo</t>
  </si>
  <si>
    <t>Tras inactividad, el sistema pausa la charla con mensaje natural; combina disparo determinístico (tiempo) y redacción no determinística (LLM). Deja la idea reanudable.</t>
  </si>
  <si>
    <t>Reunión 2026-07-31 (Felipe Arango). REQ: Nuevas iniciativas/REQ-013 · Spec: Especificaciones/Iniciativas/P-29_Cierre_Conversacional_Por_Tiempo.md</t>
  </si>
  <si>
    <t>REQ-014</t>
  </si>
  <si>
    <t>Retomar ideas del pasado sin importar el estado</t>
  </si>
  <si>
    <t>El participante vuelve a una idea ya aportada/evaluada y sigue trabajándola; elige continuar una previa o crear una nueva.</t>
  </si>
  <si>
    <t>Reunión 2026-07-31 (Felipe Arango). REQ: Nuevas iniciativas/REQ-014 · Spec: Especificaciones/Iniciativas/P-30_Retomar_Ideas_Del_Pasado.md</t>
  </si>
  <si>
    <t>P-27</t>
  </si>
  <si>
    <t>Clasificación flexible de intenciones de control</t>
  </si>
  <si>
    <t>Alias deterministas + clasificador LLM (opt-in) que propone aportar/finalizarIdea/finalizarParticipacion/ambigua; el servidor valida y ejecuta.</t>
  </si>
  <si>
    <t>Cortes 1-4 DONE local 2026-08-02; corte 5 pendiente (cupos/telemetría/E2E/QAS) · Ref: Especificaciones/Iniciativas/P-27_Clasificacion_Flexible_Intenciones_Control.md</t>
  </si>
  <si>
    <t>• Celdas azules = editables. Estimación/Horas/Tarifa se llenan al negociar cada iniciativa con el cliente.</t>
  </si>
  <si>
    <t>• Valor estimado = Estimación (h) × Tarifa/h.  Valor a facturar = Horas reales × Tarifa/h.</t>
  </si>
  <si>
    <t>• Estado refleja el estado real de desarrollo (ver Notas). Para T&amp;M, el cliente aprueba y se registran horas.</t>
  </si>
  <si>
    <t>• Cada fila referencia su spec en Especificaciones/Iniciativas/. Los IDs I-xx/P-xx son los nativos del proyecto.</t>
  </si>
  <si>
    <t>Estado de requerimientos — El Tejido (corte 2026-08-04)</t>
  </si>
  <si>
    <t>Atendido=entregado (código listo, activación pendiente en varios) · En curso=en pruebas/desarrollo · Pendiente=diferido/bloqueado. Código origen = spec (I/P/D).</t>
  </si>
  <si>
    <t>REQ</t>
  </si>
  <si>
    <t>Código origen</t>
  </si>
  <si>
    <t>Requerimiento</t>
  </si>
  <si>
    <t>Grupo</t>
  </si>
  <si>
    <t>Detalle ejecutivo (qué hace)</t>
  </si>
  <si>
    <t>Nota</t>
  </si>
  <si>
    <t>MVP base</t>
  </si>
  <si>
    <t>Atendido</t>
  </si>
  <si>
    <t>El administrador entra al portal sin contraseña: escribe su número y recibe un código por WhatsApp para acceder de forma segura.</t>
  </si>
  <si>
    <t>MVP base (cerrado y facturado)</t>
  </si>
  <si>
    <t>El sistema reconoce a cada participante por su número de WhatsApp y solo deja participar a quienes están matriculados y activos en una campaña.</t>
  </si>
  <si>
    <t>Desde el portal se crean y editan campañas, usuarios y preguntas, y se asocian los participantes a cada campaña.</t>
  </si>
  <si>
    <t>Permite enviar el mensaje inicial de la campaña a todos los participantes, reenviar a quienes no respondieron y reintentar los envíos fallidos.</t>
  </si>
  <si>
    <t>Captura conversacional de ideas y consolidación</t>
  </si>
  <si>
    <t>El coach por WhatsApp recibe la idea, la reformula para confirmar que la entendió y va armando la versión final sin perder lo aportado antes.</t>
  </si>
  <si>
    <t>El administrador carga la rúbrica de evaluación, ajusta y aprueba los textos guía y configura el modelo de IA, guardando la clave de forma segura.</t>
  </si>
  <si>
    <t>Cada idea confirmada se evalúa con IA según la rúbrica y devuelve una retroalimentación breve y útil, con una sola repregunta como máximo.</t>
  </si>
  <si>
    <t>Por cada idea se genera un documento ordenado con su evaluación, consultable desde el portal y que se puede regenerar cuando se necesite.</t>
  </si>
  <si>
    <t>Portal web de administración con la imagen de GHT para gestionar usuarios, campañas y configuración, y revisar los resultados de cada idea.</t>
  </si>
  <si>
    <t>Seguridad, guardrails y observabilidad</t>
  </si>
  <si>
    <t>Controles que protegen el sistema: límites de uso, verificación de los mensajes de WhatsApp, protección de datos y registro de actividad para auditoría.</t>
  </si>
  <si>
    <t>Plataforma base (.NET 8, Cosmos, API, CI/CD)</t>
  </si>
  <si>
    <t>La base técnica sobre la que corre todo: la aplicación, la base de datos, las conexiones y el despliegue automático.</t>
  </si>
  <si>
    <t>REQ-015</t>
  </si>
  <si>
    <t>Soporte</t>
  </si>
  <si>
    <t>Reinicio de datos por participante/campaña</t>
  </si>
  <si>
    <t>Herramienta interna para borrar y reiniciar conversaciones y respuestas de un participante o de una campaña completa, conservando configuración y usuarios (útil para pruebas).</t>
  </si>
  <si>
    <t>DONE local 13-14-jul</t>
  </si>
  <si>
    <t>REQ-016</t>
  </si>
  <si>
    <t>Banco de calibración de la evaluación</t>
  </si>
  <si>
    <t>Un conjunto de casos de referencia para calibrar y verificar que la IA califica de forma consistente.</t>
  </si>
  <si>
    <t>DONE 14-jul; baseline real pendiente</t>
  </si>
  <si>
    <t>REQ-017</t>
  </si>
  <si>
    <t>Guardrails: cupos, rate y costo LLM</t>
  </si>
  <si>
    <t>Pone límites de uso por persona y por campaña (cantidad de mensajes y gasto de IA) para controlar abuso y costos.</t>
  </si>
  <si>
    <t>Backend 14-jul; portal pendiente</t>
  </si>
  <si>
    <t>REQ-018</t>
  </si>
  <si>
    <t>Corrige que el documento de cada idea muestre siempre la calificación más reciente, no una anterior.</t>
  </si>
  <si>
    <t>DONE 15-jul</t>
  </si>
  <si>
    <t>REQ-019</t>
  </si>
  <si>
    <t>Multi-idea (varias ideas por participante)</t>
  </si>
  <si>
    <t>Permite que una misma persona aporte varias ideas y que cada una se guarde y evalúe por separado.</t>
  </si>
  <si>
    <t>DONE 15-jul; flag OFF hasta validación</t>
  </si>
  <si>
    <t>REQ-021</t>
  </si>
  <si>
    <t>El coach repite con sus palabras la idea de la persona para confirmar que la entendió bien, solo cuando la idea ya está madura.</t>
  </si>
  <si>
    <t>DONE 20-jul</t>
  </si>
  <si>
    <t>REQ-022</t>
  </si>
  <si>
    <t>Permite cargar muchos participantes de una vez desde un archivo, con sus datos de área, empresa, etiquetas y variables demográficas.</t>
  </si>
  <si>
    <t>DONE 15-20-jul; ext. demográfica pendiente</t>
  </si>
  <si>
    <t>REQ-023</t>
  </si>
  <si>
    <t>Follow-ups al eje débil de la rúbrica</t>
  </si>
  <si>
    <t>Cuando una idea es débil en algún criterio, el coach hace una repregunta enfocada justo en ese punto para mejorarla.</t>
  </si>
  <si>
    <t>DONE 21-jul</t>
  </si>
  <si>
    <t>REQ-024</t>
  </si>
  <si>
    <t>Permite definir, por campaña, qué tan buena debe ser una idea para darla por cerrada automáticamente.</t>
  </si>
  <si>
    <t>DONE 21-jul; calibración pendiente</t>
  </si>
  <si>
    <t>REQ-025</t>
  </si>
  <si>
    <t>BD de dos niveles de madurez + cierre por inactividad</t>
  </si>
  <si>
    <t>Clasifica cada idea como 'madura' o 'en incubación' según un umbral, y cierra la conversación tras un tiempo de inactividad.</t>
  </si>
  <si>
    <t>DONE 22-jul (6/6)</t>
  </si>
  <si>
    <t>REQ-026</t>
  </si>
  <si>
    <t>Vista de solo lectura de rúbricas y prompts</t>
  </si>
  <si>
    <t>Pantalla en el portal para consultar (solo lectura) las rúbricas y los prompts configurados.</t>
  </si>
  <si>
    <t>DONE 22-jul; frontend-only</t>
  </si>
  <si>
    <t>REQ-027</t>
  </si>
  <si>
    <t>Mejora interna del motor de conversación para hacerlo más ordenado y mantenible, sin cambiar lo que ve el usuario.</t>
  </si>
  <si>
    <t>DONE 24-jul (CAL-001)</t>
  </si>
  <si>
    <t>REQ-028</t>
  </si>
  <si>
    <t>Unifica el formato de los mensajes de error del sistema para que sean consistentes y más fáciles de diagnosticar.</t>
  </si>
  <si>
    <t>DONE 24-jul (API-001)</t>
  </si>
  <si>
    <t>REQ-029</t>
  </si>
  <si>
    <t>Reorganiza internamente la pantalla de campañas para hacerla más mantenible, conservando su funcionamiento.</t>
  </si>
  <si>
    <t>DONE 25-jul (CAL-002)</t>
  </si>
  <si>
    <t>REQ-030</t>
  </si>
  <si>
    <t>Mejora de accesibilidad: los controles del portal tienen nombres que los lectores de pantalla pueden anunciar.</t>
  </si>
  <si>
    <t>DONE 25-jul</t>
  </si>
  <si>
    <t>REQ-031</t>
  </si>
  <si>
    <t>Mejora de accesibilidad: los errores y confirmaciones se anuncian a las tecnologías de apoyo.</t>
  </si>
  <si>
    <t>REQ-032</t>
  </si>
  <si>
    <t>Mejora de accesibilidad: las pestañas de campañas se pueden navegar con teclado siguiendo estándares.</t>
  </si>
  <si>
    <t>REQ-033</t>
  </si>
  <si>
    <t>Soporta varios números de WhatsApp: el sistema responde por el mismo número por el que la persona escribió.</t>
  </si>
  <si>
    <t>DONE 25-jul; backend 473/473</t>
  </si>
  <si>
    <t>REQ-034</t>
  </si>
  <si>
    <t>Mejoras de UX en campañas</t>
  </si>
  <si>
    <t>Mejoras de experiencia de uso en la pantalla de campañas: pasos más claros, ayudas y estados vacíos.</t>
  </si>
  <si>
    <t>DONE 25-jul; frontend-only</t>
  </si>
  <si>
    <t>REQ-035</t>
  </si>
  <si>
    <t>Mejoras de UX en resultados</t>
  </si>
  <si>
    <t>Mejoras en la pantalla de resultados, con vista lista-detalle para revisar cada idea y su evaluación.</t>
  </si>
  <si>
    <t>REQ-036</t>
  </si>
  <si>
    <t>Cuando una persona menciona varias ideas, el coach las trabaja de a una a la vez, de forma ordenada.</t>
  </si>
  <si>
    <t>DONE 25-jul; pendiente D5/UAT</t>
  </si>
  <si>
    <t>REQ-037</t>
  </si>
  <si>
    <t>Mantiene una única versión 'oficial' de cada idea que se va completando, y evalúa siempre esa versión completa confirmada.</t>
  </si>
  <si>
    <t>DONE 28-jul</t>
  </si>
  <si>
    <t>REQ-038</t>
  </si>
  <si>
    <t>Hace que las respuestas del coach suenen naturales y que el documento de cada idea muestre su nivel y calificación de forma clara.</t>
  </si>
  <si>
    <t>REQ-039</t>
  </si>
  <si>
    <t>Corrige que, cuando la persona pide 'mejorar' su idea, el sistema la dé por confirmada y la evalúe correctamente.</t>
  </si>
  <si>
    <t>DONE 29-jul; backend 579/579</t>
  </si>
  <si>
    <t>REQ-040</t>
  </si>
  <si>
    <t>Elimina confirmaciones repetitivas: cada aporte se procesa y evalúa en el mismo momento, haciendo la conversación más ágil.</t>
  </si>
  <si>
    <t>DONE 29-jul; backend 583/583</t>
  </si>
  <si>
    <t>REQ-041</t>
  </si>
  <si>
    <t>Campañas continuas y selección de campaña/pregunta</t>
  </si>
  <si>
    <t>En pruebas</t>
  </si>
  <si>
    <t>Permite dejar una campaña abierta para que las personas vuelvan cuando quieran y aporten nuevas ideas, eligiendo a qué campaña y pregunta corresponde su aporte.</t>
  </si>
  <si>
    <t>Código completo local 31-jul; en validación/UAT</t>
  </si>
  <si>
    <t>REQ-042</t>
  </si>
  <si>
    <t>Clasificación de intenciones de control</t>
  </si>
  <si>
    <t>Entiende cuando la persona quiere parar o cambiar de idea ('paremos aquí', 'pasemos a otra') y actúa en consecuencia, sin confundir esas frases con contenido de la idea.</t>
  </si>
  <si>
    <t>Código completo local 04-ago (5/5); activación pendiente</t>
  </si>
  <si>
    <t>P-28</t>
  </si>
  <si>
    <t>Reactivación de conversación / despertar proactivo</t>
  </si>
  <si>
    <t>Hace que el coach responda cuando la persona escribe por su cuenta (por primera vez o tras un tiempo), saludando y ofreciéndole continuar o crear una idea, sin quedarse mudo.</t>
  </si>
  <si>
    <t>Código completo local 04-ago (3/3); kill-switch OFF</t>
  </si>
  <si>
    <t>P-29</t>
  </si>
  <si>
    <t>Cuando la persona deja de responder, el coach se despide de forma amable ('demos una pausa, hábleme cuando quiera') en lugar de cortar en seco, dejando la idea lista para retomar.</t>
  </si>
  <si>
    <t>En desarrollo: corte 1 de 2 hecho 04-ago; pendiente redacción LLM + E2E</t>
  </si>
  <si>
    <t>P-30</t>
  </si>
  <si>
    <t>Reanudación de ideas anteriores</t>
  </si>
  <si>
    <t>Especificada</t>
  </si>
  <si>
    <t>Permite que la persona vuelva a una idea que ya había trabajado antes —sin importar su estado— y siga elaborándola.</t>
  </si>
  <si>
    <t>Especificada; próxima a iniciar (3 cortes); kill-switch OFF</t>
  </si>
  <si>
    <t>REQ-043</t>
  </si>
  <si>
    <t>Seed thoughts por campaña</t>
  </si>
  <si>
    <t>Pendiente</t>
  </si>
  <si>
    <t>Bloqueado</t>
  </si>
  <si>
    <t>Permite cargar 'ideas semilla' por campaña para orientar y estimular los aportes de los participantes.</t>
  </si>
  <si>
    <t>Bloqueado: insumo de seeds vencido (escalar)</t>
  </si>
  <si>
    <t>REQ-020</t>
  </si>
  <si>
    <t>Diferido</t>
  </si>
  <si>
    <t>Conectaría las ideas de distintas personas para construir conocimiento colectivo (funcionalidad futura).</t>
  </si>
  <si>
    <t>Diferida a Capa 3 (core hecho, flag OFF)</t>
  </si>
  <si>
    <t>REQ-044</t>
  </si>
  <si>
    <t>Interfaz para activar el tejido colectivo eligiendo si la campaña parte de una base previa o desde cero (futuro).</t>
  </si>
  <si>
    <t>Diferida a Capa 3</t>
  </si>
  <si>
    <t>REQ-045</t>
  </si>
  <si>
    <t>Tablero visual con el estado y los resultados de las campañas (deseable, futuro).</t>
  </si>
  <si>
    <t>Diferida (deseable)</t>
  </si>
  <si>
    <t>REQ-046</t>
  </si>
  <si>
    <t>Capa de análisis que extrae hallazgos y patrones de las ideas recogidas (futuro).</t>
  </si>
  <si>
    <t>Diferida post-convención</t>
  </si>
  <si>
    <t>REQ-047</t>
  </si>
  <si>
    <t>Procesa y resume grandes volúmenes de ideas por lotes (futuro).</t>
  </si>
  <si>
    <t>REQ-048</t>
  </si>
  <si>
    <t>Aviso de tratamiento de datos al participante (diferido por ser herramienta interna).</t>
  </si>
  <si>
    <t>Diferida (herramienta interna)</t>
  </si>
  <si>
    <t>REQ-049</t>
  </si>
  <si>
    <t>Recordatorios automáticos a quienes no han respondido (requiere plantilla aprobada; futuro).</t>
  </si>
  <si>
    <t>Diferida; requiere plantilla HSM</t>
  </si>
  <si>
    <t>REQ-050</t>
  </si>
  <si>
    <t>Monitoreo día D (panel)</t>
  </si>
  <si>
    <t>Panel de monitoreo en vivo para el día del lanzamiento; el panel se difirió, se conservan chequeo de salud y plan de reversa.</t>
  </si>
  <si>
    <t>Panel diferido; health-check+runbook conservados</t>
  </si>
  <si>
    <t>REQ-051</t>
  </si>
  <si>
    <t>Genera un informe consolidado de resultados por campaña (deseable, futuro).</t>
  </si>
  <si>
    <t>Gantt — El Tejido: requerimientos e iniciativas (nomenclatura REQ unificada)</t>
  </si>
  <si>
    <t>Barras: verde=Atendido · azul=En curso/En pruebas · ámbar=Especificada/Pendiente/Diferido · rojo ◆=hito. Inicio ESTIMADO por sprint; Fin=fecha real de DONE. Edite Inicio/Fin y las barras se recalculan.</t>
  </si>
  <si>
    <t>Lo no implementado va sin fechas (sin barra): ponga Inicio/Fin y aparece la barra automáticamente.</t>
  </si>
  <si>
    <t>Requerimiento / Iniciativa</t>
  </si>
  <si>
    <t>Inicio</t>
  </si>
  <si>
    <t>Fin (real/est.)</t>
  </si>
  <si>
    <t>—</t>
  </si>
  <si>
    <t>HITO — Envío de inicio de campaña</t>
  </si>
  <si>
    <t>Hito</t>
  </si>
  <si>
    <t>Fecha inamovible</t>
  </si>
  <si>
    <t>Convención de gerentes</t>
  </si>
  <si>
    <t>≈24-sep (confirmada)</t>
  </si>
  <si>
    <t>Resumen — Nuevas iniciativas (backlog T&amp;M)</t>
  </si>
  <si>
    <t># Iniciativas</t>
  </si>
  <si>
    <t>Horas estimadas</t>
  </si>
  <si>
    <t>Estimado</t>
  </si>
  <si>
    <t>Aprobado</t>
  </si>
  <si>
    <t>TOTAL</t>
  </si>
  <si>
    <t>Valor total a facturar ($)</t>
  </si>
  <si>
    <t>Alcance inicial (MVP): 11 requerimientos — Cerrados y facturados (ver hoja 'Alcance inicial').</t>
  </si>
  <si>
    <t>enviar</t>
  </si>
  <si>
    <t>Busca que las respuestas del coach suenen naturales y que el documento de cada idea muestre su nivel y calificación de forma clara.</t>
  </si>
  <si>
    <t>Permite dejar una campaña abierta para que las personas vuelvan cuando quieran y aporten nuevas ideas, eligiendo a qué campaña y pregunta corresponde su aporte. Para convención no será multicampaña</t>
  </si>
  <si>
    <t>Entiende cuando la persona quiere parar o cambiar de idea ('paremos aquí', 'pasemos a otra') y actúa en consecuencia, sin confundir esas frases con contenido de la idea. Es una combinación de deterministico y no deterministico, por lo que el comportamiento puede variar.</t>
  </si>
  <si>
    <t>Req</t>
  </si>
  <si>
    <t>Mejora</t>
  </si>
  <si>
    <t>Detalle</t>
  </si>
  <si>
    <t>Plataforma base (.Azure, CI/CD)</t>
  </si>
  <si>
    <t>REQ-052</t>
  </si>
  <si>
    <t>Manuales de parametrización</t>
  </si>
  <si>
    <t>Documentos de funcionamiento y configuración del ssitema.</t>
  </si>
  <si>
    <t>Permite cargar muchos participantes de una vez desde un archivo, con sus datos de área, empresa, etiquetas y variables demográficas.Pendiente de confirmación de campos por participante</t>
  </si>
  <si>
    <t>REQ-053</t>
  </si>
  <si>
    <t xml:space="preserve">Multidioma </t>
  </si>
  <si>
    <t>Permite que el sistema interactue con el participante en el idioma almacenado en los datos de usuario.</t>
  </si>
  <si>
    <t>Desarrollado</t>
  </si>
  <si>
    <t>El requerimiento fue desarrollado, entregado, facturado y pagado</t>
  </si>
  <si>
    <t>El requerimiento esta desarrollado y desplegado</t>
  </si>
  <si>
    <t>El requerimietno esta desarrollado, en fase de pruebas, sin desplegar</t>
  </si>
  <si>
    <t>El requerimiento está siendo desarrollado</t>
  </si>
  <si>
    <t>El requerimiento se encuentra a la espera de priorización y desarrollo</t>
  </si>
  <si>
    <t>Row Labels</t>
  </si>
  <si>
    <t>Grand Total</t>
  </si>
  <si>
    <t>Count of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</si>
</sst>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quot;#,##0\);\-"/>
    <numFmt numFmtId="166" formatCode="dd\-mmm"/>
    <numFmt numFmtId="167" formatCode="dd\-mmm\-yy"/>
  </numFmts>
  <fonts count="26" x14ac:knownFonts="1">
    <font>
      <sz val="11"/>
      <color theme="1"/>
      <name val="Calibri"/>
      <family val="2"/>
      <charset val="1"/>
    </font>
    <font>
      <sz val="10"/>
      <name val="Roboto"/>
    </font>
    <font>
      <b/>
      <sz val="10"/>
      <name val="Roboto"/>
    </font>
    <font>
      <i/>
      <sz val="10"/>
      <name val="Roboto"/>
    </font>
    <font>
      <sz val="9"/>
      <name val="Roboto"/>
    </font>
    <font>
      <b/>
      <sz val="9"/>
      <name val="Roboto"/>
    </font>
    <font>
      <i/>
      <sz val="9"/>
      <name val="Roboto"/>
    </font>
    <font>
      <b/>
      <sz val="14"/>
      <color rgb="FF1F4E78"/>
      <name val="Arial"/>
      <family val="2"/>
    </font>
    <font>
      <i/>
      <sz val="9"/>
      <color rgb="FF595959"/>
      <name val="Arial"/>
      <family val="2"/>
    </font>
    <font>
      <b/>
      <sz val="11"/>
      <color rgb="FFFFFFFF"/>
      <name val="Arial"/>
      <family val="2"/>
    </font>
    <font>
      <sz val="10"/>
      <name val="Arial"/>
      <family val="2"/>
    </font>
    <font>
      <b/>
      <sz val="10"/>
      <name val="Arial"/>
      <family val="2"/>
    </font>
    <font>
      <b/>
      <sz val="8"/>
      <color rgb="FFFFFFFF"/>
      <name val="Arial"/>
      <family val="2"/>
    </font>
    <font>
      <b/>
      <sz val="11"/>
      <color rgb="FFC00000"/>
      <name val="Arial"/>
      <family val="2"/>
    </font>
    <font>
      <i/>
      <sz val="8"/>
      <color rgb="FF595959"/>
      <name val="Arial"/>
      <family val="2"/>
    </font>
    <font>
      <sz val="11"/>
      <name val="Arial"/>
      <family val="2"/>
    </font>
    <font>
      <b/>
      <sz val="11"/>
      <color rgb="FF2E7D32"/>
      <name val="Arial"/>
      <family val="2"/>
    </font>
    <font>
      <b/>
      <sz val="11"/>
      <color rgb="FFBF8F00"/>
      <name val="Arial"/>
      <family val="2"/>
    </font>
    <font>
      <b/>
      <sz val="11"/>
      <color rgb="FF1F4E78"/>
      <name val="Arial"/>
      <family val="2"/>
    </font>
    <font>
      <b/>
      <sz val="11"/>
      <name val="Arial"/>
      <family val="2"/>
    </font>
    <font>
      <i/>
      <sz val="9"/>
      <name val="Arial"/>
      <family val="2"/>
    </font>
    <font>
      <b/>
      <sz val="9"/>
      <color rgb="FFFFFFFF"/>
      <name val="Arial"/>
      <family val="2"/>
    </font>
    <font>
      <sz val="9"/>
      <color theme="1"/>
      <name val="Arial"/>
      <family val="2"/>
    </font>
    <font>
      <sz val="9"/>
      <name val="Arial"/>
      <family val="2"/>
    </font>
    <font>
      <b/>
      <sz val="9"/>
      <name val="Arial"/>
      <family val="2"/>
    </font>
    <font>
      <b/>
      <sz val="9"/>
      <color theme="1"/>
      <name val="Arial"/>
      <family val="2"/>
    </font>
  </fonts>
  <fills count="8">
    <fill>
      <patternFill patternType="none"/>
    </fill>
    <fill>
      <patternFill patternType="gray125"/>
    </fill>
    <fill>
      <patternFill patternType="solid">
        <fgColor rgb="FFD9E1F2"/>
        <bgColor rgb="FFD9D9D9"/>
      </patternFill>
    </fill>
    <fill>
      <patternFill patternType="solid">
        <fgColor rgb="FF1F4E78"/>
        <bgColor rgb="FF003366"/>
      </patternFill>
    </fill>
    <fill>
      <patternFill patternType="solid">
        <fgColor rgb="FFC6EFCE"/>
        <bgColor rgb="FFD9E1F2"/>
      </patternFill>
    </fill>
    <fill>
      <patternFill patternType="solid">
        <fgColor rgb="FFBDD7EE"/>
        <bgColor rgb="FFD9D9D9"/>
      </patternFill>
    </fill>
    <fill>
      <patternFill patternType="solid">
        <fgColor rgb="FFFFE699"/>
        <bgColor rgb="FFFFFFCC"/>
      </patternFill>
    </fill>
    <fill>
      <patternFill patternType="solid">
        <fgColor rgb="FF00B050"/>
        <bgColor rgb="FFD9E1F2"/>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3">
    <xf numFmtId="0" fontId="0" fillId="0" borderId="0" xfId="0"/>
    <xf numFmtId="0" fontId="7" fillId="0" borderId="0" xfId="0" applyFont="1"/>
    <xf numFmtId="0" fontId="1" fillId="0" borderId="0" xfId="0" applyFont="1"/>
    <xf numFmtId="0" fontId="1" fillId="0" borderId="0" xfId="0" applyFont="1" applyAlignment="1">
      <alignment wrapText="1"/>
    </xf>
    <xf numFmtId="0" fontId="2" fillId="0" borderId="1" xfId="0" applyFont="1" applyBorder="1" applyAlignment="1">
      <alignment horizontal="center" vertical="center" wrapText="1"/>
    </xf>
    <xf numFmtId="0" fontId="1" fillId="0" borderId="1" xfId="0" applyFont="1" applyBorder="1" applyAlignment="1">
      <alignment vertical="top"/>
    </xf>
    <xf numFmtId="0" fontId="1" fillId="0" borderId="1" xfId="0" applyFont="1" applyBorder="1" applyAlignment="1">
      <alignment vertical="top" wrapText="1"/>
    </xf>
    <xf numFmtId="164" fontId="1" fillId="0" borderId="1" xfId="0" applyNumberFormat="1" applyFont="1" applyBorder="1" applyAlignment="1">
      <alignment vertical="top"/>
    </xf>
    <xf numFmtId="165" fontId="1" fillId="0" borderId="1" xfId="0" applyNumberFormat="1" applyFont="1" applyBorder="1" applyAlignment="1">
      <alignment vertical="top"/>
    </xf>
    <xf numFmtId="0" fontId="2" fillId="2" borderId="1" xfId="0" applyFont="1" applyFill="1" applyBorder="1"/>
    <xf numFmtId="164" fontId="2" fillId="2" borderId="1" xfId="0" applyNumberFormat="1" applyFont="1" applyFill="1" applyBorder="1"/>
    <xf numFmtId="165" fontId="2" fillId="2" borderId="1" xfId="0" applyNumberFormat="1" applyFont="1" applyFill="1" applyBorder="1"/>
    <xf numFmtId="0" fontId="2" fillId="0" borderId="0" xfId="0" applyFont="1"/>
    <xf numFmtId="0" fontId="3" fillId="0" borderId="0" xfId="0" applyFont="1"/>
    <xf numFmtId="0" fontId="4" fillId="0" borderId="0" xfId="0" applyFont="1"/>
    <xf numFmtId="0" fontId="4" fillId="0" borderId="0" xfId="0" applyFont="1" applyAlignment="1">
      <alignment vertical="top"/>
    </xf>
    <xf numFmtId="0" fontId="4" fillId="0" borderId="0" xfId="0" applyFont="1" applyAlignment="1">
      <alignment vertical="top" wrapText="1"/>
    </xf>
    <xf numFmtId="0" fontId="5" fillId="0" borderId="1" xfId="0" applyFont="1" applyBorder="1" applyAlignment="1">
      <alignment horizontal="center" vertical="center" wrapText="1"/>
    </xf>
    <xf numFmtId="0" fontId="5" fillId="0" borderId="1" xfId="0" applyFont="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164" fontId="4" fillId="0" borderId="1" xfId="0" applyNumberFormat="1" applyFont="1" applyBorder="1" applyAlignment="1">
      <alignment vertical="top"/>
    </xf>
    <xf numFmtId="165" fontId="4" fillId="0" borderId="1" xfId="0" applyNumberFormat="1" applyFont="1" applyBorder="1" applyAlignment="1">
      <alignment vertical="top"/>
    </xf>
    <xf numFmtId="0" fontId="5" fillId="2" borderId="1" xfId="0" applyFont="1" applyFill="1" applyBorder="1"/>
    <xf numFmtId="164" fontId="5" fillId="2" borderId="1" xfId="0" applyNumberFormat="1" applyFont="1" applyFill="1" applyBorder="1"/>
    <xf numFmtId="165" fontId="5" fillId="2" borderId="1" xfId="0" applyNumberFormat="1" applyFont="1" applyFill="1" applyBorder="1"/>
    <xf numFmtId="0" fontId="5" fillId="0" borderId="0" xfId="0" applyFont="1"/>
    <xf numFmtId="0" fontId="6" fillId="0" borderId="0" xfId="0" applyFont="1"/>
    <xf numFmtId="0" fontId="8" fillId="0" borderId="0" xfId="0" applyFont="1"/>
    <xf numFmtId="0" fontId="9" fillId="3" borderId="2" xfId="0" applyFont="1" applyFill="1" applyBorder="1" applyAlignment="1">
      <alignment horizontal="center" vertical="center" wrapText="1"/>
    </xf>
    <xf numFmtId="0" fontId="10" fillId="0" borderId="2" xfId="0" applyFont="1" applyBorder="1" applyAlignment="1">
      <alignment vertical="top"/>
    </xf>
    <xf numFmtId="0" fontId="10" fillId="0" borderId="2" xfId="0" applyFont="1" applyBorder="1" applyAlignment="1">
      <alignment vertical="top" wrapText="1"/>
    </xf>
    <xf numFmtId="0" fontId="11" fillId="4" borderId="2" xfId="0" applyFont="1" applyFill="1" applyBorder="1" applyAlignment="1">
      <alignment vertical="top"/>
    </xf>
    <xf numFmtId="0" fontId="11" fillId="5" borderId="2" xfId="0" applyFont="1" applyFill="1" applyBorder="1" applyAlignment="1">
      <alignment vertical="top"/>
    </xf>
    <xf numFmtId="0" fontId="11" fillId="6" borderId="2" xfId="0" applyFont="1" applyFill="1" applyBorder="1" applyAlignment="1">
      <alignment vertical="top"/>
    </xf>
    <xf numFmtId="166" fontId="12" fillId="3" borderId="0" xfId="0" applyNumberFormat="1" applyFont="1" applyFill="1" applyAlignment="1">
      <alignment horizontal="center"/>
    </xf>
    <xf numFmtId="0" fontId="9" fillId="3" borderId="2" xfId="0" applyFont="1" applyFill="1" applyBorder="1" applyAlignment="1">
      <alignment horizontal="center" wrapText="1"/>
    </xf>
    <xf numFmtId="0" fontId="13" fillId="0" borderId="2" xfId="0" applyFont="1" applyBorder="1" applyAlignment="1">
      <alignment vertical="center"/>
    </xf>
    <xf numFmtId="0" fontId="13" fillId="0" borderId="2" xfId="0" applyFont="1" applyBorder="1" applyAlignment="1">
      <alignment vertical="center" wrapText="1"/>
    </xf>
    <xf numFmtId="167" fontId="13" fillId="0" borderId="2" xfId="0" applyNumberFormat="1" applyFont="1" applyBorder="1" applyAlignment="1">
      <alignment vertical="center"/>
    </xf>
    <xf numFmtId="0" fontId="13" fillId="0" borderId="0" xfId="0" applyFont="1" applyAlignment="1">
      <alignment horizontal="center"/>
    </xf>
    <xf numFmtId="0" fontId="14" fillId="0" borderId="2" xfId="0" applyFont="1" applyBorder="1" applyAlignment="1">
      <alignment vertical="center" wrapText="1"/>
    </xf>
    <xf numFmtId="0" fontId="15" fillId="0" borderId="2" xfId="0" applyFont="1" applyBorder="1" applyAlignment="1">
      <alignment vertical="center"/>
    </xf>
    <xf numFmtId="0" fontId="15" fillId="0" borderId="2" xfId="0" applyFont="1" applyBorder="1" applyAlignment="1">
      <alignment vertical="center" wrapText="1"/>
    </xf>
    <xf numFmtId="167" fontId="15" fillId="0" borderId="2" xfId="0" applyNumberFormat="1" applyFont="1" applyBorder="1" applyAlignment="1">
      <alignment vertic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9" fillId="3" borderId="1" xfId="0" applyFont="1" applyFill="1" applyBorder="1" applyAlignment="1">
      <alignment horizontal="center" wrapText="1"/>
    </xf>
    <xf numFmtId="0" fontId="0" fillId="0" borderId="1" xfId="0" applyBorder="1"/>
    <xf numFmtId="164" fontId="0" fillId="0" borderId="1" xfId="0" applyNumberFormat="1" applyBorder="1"/>
    <xf numFmtId="165" fontId="0" fillId="0" borderId="1" xfId="0" applyNumberFormat="1" applyBorder="1"/>
    <xf numFmtId="0" fontId="19" fillId="2" borderId="1" xfId="0" applyFont="1" applyFill="1" applyBorder="1"/>
    <xf numFmtId="164" fontId="19" fillId="2" borderId="1" xfId="0" applyNumberFormat="1" applyFont="1" applyFill="1" applyBorder="1"/>
    <xf numFmtId="165" fontId="19" fillId="2" borderId="1" xfId="0" applyNumberFormat="1" applyFont="1" applyFill="1" applyBorder="1"/>
    <xf numFmtId="0" fontId="19" fillId="0" borderId="0" xfId="0" applyFont="1"/>
    <xf numFmtId="165" fontId="0" fillId="0" borderId="0" xfId="0" applyNumberFormat="1"/>
    <xf numFmtId="0" fontId="20" fillId="0" borderId="0" xfId="0" applyFont="1"/>
    <xf numFmtId="0" fontId="9" fillId="3" borderId="0" xfId="0" applyFont="1" applyFill="1"/>
    <xf numFmtId="0" fontId="7" fillId="0" borderId="0" xfId="0" applyFont="1"/>
    <xf numFmtId="0" fontId="23" fillId="0" borderId="2" xfId="0" applyFont="1" applyBorder="1" applyAlignment="1">
      <alignment vertical="top"/>
    </xf>
    <xf numFmtId="0" fontId="23" fillId="0" borderId="2" xfId="0" applyFont="1" applyBorder="1" applyAlignment="1">
      <alignment vertical="top" wrapText="1"/>
    </xf>
    <xf numFmtId="0" fontId="24" fillId="4" borderId="2" xfId="0" applyFont="1" applyFill="1" applyBorder="1" applyAlignment="1">
      <alignment vertical="top"/>
    </xf>
    <xf numFmtId="0" fontId="24" fillId="5" borderId="2" xfId="0" applyFont="1" applyFill="1" applyBorder="1" applyAlignment="1">
      <alignment vertical="top"/>
    </xf>
    <xf numFmtId="0" fontId="24" fillId="6" borderId="2" xfId="0" applyFont="1" applyFill="1" applyBorder="1" applyAlignment="1">
      <alignment vertical="top"/>
    </xf>
    <xf numFmtId="0" fontId="23" fillId="0" borderId="0" xfId="0" applyFont="1" applyBorder="1" applyAlignment="1">
      <alignment vertical="top"/>
    </xf>
    <xf numFmtId="0" fontId="23" fillId="0" borderId="0" xfId="0" applyFont="1" applyBorder="1" applyAlignment="1">
      <alignment vertical="top" wrapText="1"/>
    </xf>
    <xf numFmtId="0" fontId="24" fillId="7" borderId="2" xfId="0" applyFont="1" applyFill="1" applyBorder="1" applyAlignment="1">
      <alignment vertical="top"/>
    </xf>
    <xf numFmtId="0" fontId="24" fillId="7" borderId="3" xfId="0" applyFont="1" applyFill="1" applyBorder="1" applyAlignment="1">
      <alignment vertical="top"/>
    </xf>
    <xf numFmtId="0" fontId="24" fillId="4" borderId="5" xfId="0" applyFont="1" applyFill="1" applyBorder="1" applyAlignment="1">
      <alignment vertical="top"/>
    </xf>
    <xf numFmtId="0" fontId="24" fillId="5" borderId="5" xfId="0" applyFont="1" applyFill="1" applyBorder="1" applyAlignment="1">
      <alignment vertical="top"/>
    </xf>
    <xf numFmtId="0" fontId="24" fillId="6" borderId="7" xfId="0" applyFont="1" applyFill="1" applyBorder="1" applyAlignment="1">
      <alignment vertical="top"/>
    </xf>
    <xf numFmtId="0" fontId="22" fillId="0" borderId="4" xfId="0" applyFont="1" applyBorder="1" applyAlignment="1">
      <alignment vertical="top"/>
    </xf>
    <xf numFmtId="0" fontId="22" fillId="0" borderId="6" xfId="0" applyFont="1" applyBorder="1" applyAlignment="1">
      <alignment vertical="top"/>
    </xf>
    <xf numFmtId="0" fontId="22" fillId="0" borderId="8" xfId="0" applyFont="1" applyBorder="1" applyAlignment="1">
      <alignment vertical="top"/>
    </xf>
    <xf numFmtId="0" fontId="21" fillId="3" borderId="2" xfId="0" applyFont="1" applyFill="1" applyBorder="1" applyAlignment="1">
      <alignment horizontal="center" vertical="top" wrapText="1"/>
    </xf>
    <xf numFmtId="0" fontId="22" fillId="0" borderId="0" xfId="0" applyFont="1" applyAlignment="1">
      <alignment vertical="top"/>
    </xf>
    <xf numFmtId="0" fontId="25" fillId="0" borderId="0" xfId="0" applyFont="1" applyAlignment="1">
      <alignment vertical="top"/>
    </xf>
    <xf numFmtId="0" fontId="22" fillId="0" borderId="0" xfId="0" applyFont="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0" fontId="22" fillId="0" borderId="2" xfId="0" applyFont="1" applyBorder="1" applyAlignment="1">
      <alignment vertical="top"/>
    </xf>
  </cellXfs>
  <cellStyles count="1">
    <cellStyle name="Normal" xfId="0" builtinId="0"/>
  </cellStyles>
  <dxfs count="10">
    <dxf>
      <fill>
        <patternFill patternType="solid">
          <fgColor rgb="FF00B050"/>
          <bgColor rgb="FFD9E1F2"/>
        </patternFill>
      </fill>
    </dxf>
    <dxf>
      <fill>
        <patternFill patternType="solid">
          <fgColor rgb="FF00B050"/>
          <bgColor rgb="FFD9E1F2"/>
        </patternFill>
      </fill>
    </dxf>
    <dxf>
      <fill>
        <patternFill patternType="solid">
          <fgColor rgb="FF00B050"/>
          <bgColor rgb="FFD9E1F2"/>
        </patternFill>
      </fill>
    </dxf>
    <dxf>
      <fill>
        <patternFill patternType="solid">
          <fgColor rgb="FF00B050"/>
          <bgColor rgb="FFD9E1F2"/>
        </patternFill>
      </fill>
    </dxf>
    <dxf>
      <font>
        <color rgb="FFBF8F00"/>
      </font>
      <fill>
        <patternFill>
          <bgColor rgb="FFFFE699"/>
        </patternFill>
      </fill>
    </dxf>
    <dxf>
      <font>
        <color rgb="FF1F4E78"/>
      </font>
      <fill>
        <patternFill>
          <bgColor rgb="FFBDD7EE"/>
        </patternFill>
      </fill>
    </dxf>
    <dxf>
      <font>
        <color rgb="FF2E7D32"/>
      </font>
      <fill>
        <patternFill>
          <bgColor rgb="FFC6EFCE"/>
        </patternFill>
      </fill>
    </dxf>
    <dxf>
      <font>
        <color rgb="FFC00000"/>
      </font>
      <fill>
        <patternFill>
          <bgColor rgb="FFF4B7A6"/>
        </patternFill>
      </fill>
    </dxf>
    <dxf>
      <fill>
        <patternFill patternType="solid">
          <fgColor rgb="FF00B050"/>
          <bgColor rgb="FFD9E1F2"/>
        </patternFill>
      </fill>
    </dxf>
    <dxf>
      <fill>
        <patternFill patternType="solid">
          <fgColor rgb="FF00B050"/>
          <bgColor rgb="FFD9E1F2"/>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E699"/>
      <rgbColor rgb="FF99CCFF"/>
      <rgbColor rgb="FFFF99CC"/>
      <rgbColor rgb="FFCC99FF"/>
      <rgbColor rgb="FFF4B7A6"/>
      <rgbColor rgb="FF3366FF"/>
      <rgbColor rgb="FF33CCCC"/>
      <rgbColor rgb="FF99CC00"/>
      <rgbColor rgb="FFFFCC00"/>
      <rgbColor rgb="FFBF8F00"/>
      <rgbColor rgb="FFFF6600"/>
      <rgbColor rgb="FF595959"/>
      <rgbColor rgb="FF969696"/>
      <rgbColor rgb="FF003366"/>
      <rgbColor rgb="FF2E7D32"/>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Perez Carvajal" refreshedDate="46238.587282754626" createdVersion="8" refreshedVersion="8" minRefreshableVersion="3" recordCount="41" xr:uid="{745A5D50-77DC-462B-A99F-10486F352F98}">
  <cacheSource type="worksheet">
    <worksheetSource ref="A1:F42" sheet="Estado"/>
  </cacheSource>
  <cacheFields count="6">
    <cacheField name="Req" numFmtId="0">
      <sharedItems/>
    </cacheField>
    <cacheField name="ID" numFmtId="0">
      <sharedItems containsBlank="1"/>
    </cacheField>
    <cacheField name="Tipo" numFmtId="0">
      <sharedItems/>
    </cacheField>
    <cacheField name="Requerimiento" numFmtId="0">
      <sharedItems/>
    </cacheField>
    <cacheField name="Estado" numFmtId="0">
      <sharedItems count="5">
        <s v="Cerrado"/>
        <s v="En curso"/>
        <s v="Desarrollado"/>
        <s v="Diferido"/>
        <s v="En pruebas"/>
      </sharedItems>
    </cacheField>
    <cacheField name="Detall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REQ-001"/>
    <s v="MVP base"/>
    <s v="Nuevo"/>
    <s v="Autenticación de administrador por OTP de WhatsApp"/>
    <x v="0"/>
    <s v="El administrador entra al portal sin contraseña: escribe su número y recibe un código por WhatsApp para acceder de forma segura."/>
  </r>
  <r>
    <s v="REQ-002"/>
    <s v="MVP base"/>
    <s v="Nuevo"/>
    <s v="Identidad y matrícula de participantes"/>
    <x v="0"/>
    <s v="El sistema reconoce a cada participante por su número de WhatsApp y solo deja participar a quienes están matriculados y activos en una campaña."/>
  </r>
  <r>
    <s v="REQ-003"/>
    <s v="MVP base"/>
    <s v="Nuevo"/>
    <s v="Gestión de campañas, usuarios y preguntas"/>
    <x v="0"/>
    <s v="Desde el portal se crean y editan campañas, usuarios y preguntas, y se asocian los participantes a cada campaña."/>
  </r>
  <r>
    <s v="REQ-004"/>
    <s v="MVP base"/>
    <s v="Nuevo"/>
    <s v="Envío de mensajes iniciales por WhatsApp"/>
    <x v="0"/>
    <s v="Permite enviar el mensaje inicial de la campaña a todos los participantes, reenviar a quienes no respondieron y reintentar los envíos fallidos."/>
  </r>
  <r>
    <s v="REQ-005"/>
    <s v="MVP base"/>
    <s v="Nuevo"/>
    <s v="Captura conversacional de ideas y consolidación"/>
    <x v="0"/>
    <s v="El coach por WhatsApp recibe la idea, la reformula para confirmar que la entendió y va armando la versión final sin perder lo aportado antes."/>
  </r>
  <r>
    <s v="REQ-006"/>
    <s v="MVP base"/>
    <s v="Nuevo"/>
    <s v="Rúbricas, prompts versionados y configuración LLM"/>
    <x v="0"/>
    <s v="El administrador carga la rúbrica de evaluación, ajusta y aprueba los textos guía y configura el modelo de IA, guardando la clave de forma segura."/>
  </r>
  <r>
    <s v="REQ-007"/>
    <s v="MVP base"/>
    <s v="Nuevo"/>
    <s v="Evaluación de ideas con LLM y retroalimentación"/>
    <x v="0"/>
    <s v="Cada idea confirmada se evalúa con IA según la rúbrica y devuelve una retroalimentación breve y útil, con una sola repregunta como máximo."/>
  </r>
  <r>
    <s v="REQ-008"/>
    <s v="MVP base"/>
    <s v="Nuevo"/>
    <s v="Compilación de artefactos Markdown por idea"/>
    <x v="0"/>
    <s v="Por cada idea se genera un documento ordenado con su evaluación, consultable desde el portal y que se puede regenerar cuando se necesite."/>
  </r>
  <r>
    <s v="REQ-009"/>
    <s v="MVP base"/>
    <s v="Nuevo"/>
    <s v="Portal administrativo Angular con marca GHT"/>
    <x v="0"/>
    <s v="Portal web de administración con la imagen de GHT para gestionar usuarios, campañas y configuración, y revisar los resultados de cada idea."/>
  </r>
  <r>
    <s v="REQ-011"/>
    <s v="MVP base"/>
    <s v="Nuevo"/>
    <s v="Plataforma base (.Azure, CI/CD)"/>
    <x v="0"/>
    <s v="La base técnica sobre la que corre todo: la aplicación, la base de datos, las conexiones y el despliegue automático."/>
  </r>
  <r>
    <s v="REQ-012"/>
    <s v="P-28"/>
    <s v="Nuevo"/>
    <s v="Reactivación de conversación / despertar proactivo"/>
    <x v="1"/>
    <s v="Hace que el coach responda cuando la persona escribe por su cuenta (por primera vez o tras un tiempo), saludando y ofreciéndole continuar o crear una idea, sin quedarse mudo."/>
  </r>
  <r>
    <s v="REQ-013"/>
    <s v="P-29"/>
    <s v="Mejora"/>
    <s v="Cierre conversacional por tiempo"/>
    <x v="1"/>
    <s v="Cuando la persona deja de responder, el coach se despide de forma amable ('demos una pausa, hábleme cuando quiera') en lugar de cortar en seco, dejando la idea lista para retomar."/>
  </r>
  <r>
    <s v="REQ-014"/>
    <s v="P-30"/>
    <s v="Nuevo"/>
    <s v="Reanudación de ideas anteriores"/>
    <x v="1"/>
    <s v="Permite que la persona vuelva a una idea que ya había trabajado antes —sin importar su estado— y siga elaborándola."/>
  </r>
  <r>
    <s v="REQ-015"/>
    <s v="P-03"/>
    <s v="Soporte"/>
    <s v="Reinicio de datos por participante/campaña"/>
    <x v="2"/>
    <s v="Herramienta interna para borrar y reiniciar conversaciones y respuestas de un participante o de una campaña completa, conservando configuración y usuarios (útil para pruebas)."/>
  </r>
  <r>
    <s v="REQ-018"/>
    <s v="I-16"/>
    <s v="Bug"/>
    <s v="Fix de calificación en Markdown"/>
    <x v="2"/>
    <s v="Corrige que el documento de cada idea muestre siempre la calificación más reciente, no una anterior."/>
  </r>
  <r>
    <s v="REQ-019"/>
    <s v="I-06"/>
    <s v="Nuevo"/>
    <s v="Multi-idea (varias ideas por participante)"/>
    <x v="2"/>
    <s v="Permite que una misma persona aporte varias ideas y que cada una se guarde y evalúe por separado."/>
  </r>
  <r>
    <s v="REQ-020"/>
    <s v="I-09"/>
    <s v="Nuevo"/>
    <s v="Tejido colectivo"/>
    <x v="3"/>
    <s v="Conectaría las ideas de distintas personas para construir conocimiento colectivo (funcionalidad futura)."/>
  </r>
  <r>
    <s v="REQ-021"/>
    <s v="I-05"/>
    <s v="Nuevo"/>
    <s v="Paráfrasis y transparencia"/>
    <x v="2"/>
    <s v="El coach repite con sus palabras la idea de la persona para confirmar que la entendió bien, solo cuando la idea ya está madura."/>
  </r>
  <r>
    <s v="REQ-022"/>
    <s v="I-08"/>
    <s v="Nuevo"/>
    <s v="Carga masiva de participantes"/>
    <x v="1"/>
    <s v="Permite cargar muchos participantes de una vez desde un archivo, con sus datos de área, empresa, etiquetas y variables demográficas.Pendiente de confirmación de campos por participante"/>
  </r>
  <r>
    <s v="REQ-023"/>
    <s v="I-03"/>
    <s v="Nuevo"/>
    <s v="Follow-ups al eje débil de la rúbrica"/>
    <x v="2"/>
    <s v="Cuando una idea es débil en algún criterio, el coach hace una repregunta enfocada justo en ese punto para mejorarla."/>
  </r>
  <r>
    <s v="REQ-024"/>
    <s v="P-13"/>
    <s v="Mejora"/>
    <s v="Umbral de cierre por campaña"/>
    <x v="2"/>
    <s v="Permite definir, por campaña, qué tan buena debe ser una idea para darla por cerrada automáticamente."/>
  </r>
  <r>
    <s v="REQ-025"/>
    <s v="I-17"/>
    <s v="Nuevo"/>
    <s v="BD de dos niveles de madurez + cierre por inactividad"/>
    <x v="2"/>
    <s v="Clasifica cada idea como 'madura' o 'en incubación' según un umbral, y cierra la conversación tras un tiempo de inactividad."/>
  </r>
  <r>
    <s v="REQ-026"/>
    <s v="P-14"/>
    <s v="Nuevo"/>
    <s v="Vista de solo lectura de rúbricas y prompts"/>
    <x v="2"/>
    <s v="Pantalla en el portal para consultar (solo lectura) las rúbricas y los prompts configurados."/>
  </r>
  <r>
    <s v="REQ-027"/>
    <s v="P-15"/>
    <s v="Mejora"/>
    <s v="Refactor del orquestador conversacional"/>
    <x v="2"/>
    <s v="Mejora interna del motor de conversación para hacerlo más ordenado y mantenible, sin cambiar lo que ve el usuario."/>
  </r>
  <r>
    <s v="REQ-029"/>
    <s v="P-16"/>
    <s v="Mejora"/>
    <s v="Refactor de página de campañas"/>
    <x v="2"/>
    <s v="Reorganiza internamente la pantalla de campañas para hacerla más mantenible, conservando su funcionamiento."/>
  </r>
  <r>
    <s v="REQ-033"/>
    <s v="P-21"/>
    <s v="Nuevo"/>
    <s v="Multi-número de WhatsApp"/>
    <x v="2"/>
    <s v="Soporta varios números de WhatsApp: el sistema responde por el mismo número por el que la persona escribió."/>
  </r>
  <r>
    <s v="REQ-036"/>
    <s v="I-18"/>
    <s v="Nuevo"/>
    <s v="Coaching secuencial por idea"/>
    <x v="2"/>
    <s v="Cuando una persona menciona varias ideas, el coach las trabaja de a una a la vez, de forma ordenada."/>
  </r>
  <r>
    <s v="REQ-037"/>
    <s v="I-19"/>
    <s v="Nuevo"/>
    <s v="Consolidación progresiva de ideas"/>
    <x v="2"/>
    <s v="Mantiene una única versión 'oficial' de cada idea que se va completando, y evalúa siempre esa versión completa confirmada."/>
  </r>
  <r>
    <s v="REQ-038"/>
    <s v="I-20"/>
    <s v="Nuevo"/>
    <s v="Redacción fluida + Markdown ejecutivo"/>
    <x v="2"/>
    <s v="Busca que las respuestas del coach suenen naturales y que el documento de cada idea muestre su nivel y calificación de forma clara."/>
  </r>
  <r>
    <s v="REQ-040"/>
    <s v="P-25"/>
    <s v="Mejora"/>
    <s v="Coaching directo sin confirmación repetitiva"/>
    <x v="2"/>
    <s v="Elimina confirmaciones repetitivas: cada aporte se procesa y evalúa en el mismo momento, haciendo la conversación más ágil."/>
  </r>
  <r>
    <s v="REQ-041"/>
    <s v="P-26"/>
    <s v="Nuevo"/>
    <s v="Campañas continuas y selección de campaña/pregunta"/>
    <x v="4"/>
    <s v="Permite dejar una campaña abierta para que las personas vuelvan cuando quieran y aporten nuevas ideas, eligiendo a qué campaña y pregunta corresponde su aporte. Para convención no será multicampaña"/>
  </r>
  <r>
    <s v="REQ-042"/>
    <s v="P-27"/>
    <s v="Mejora"/>
    <s v="Clasificación de intenciones de control"/>
    <x v="1"/>
    <s v="Entiende cuando la persona quiere parar o cambiar de idea ('paremos aquí', 'pasemos a otra') y actúa en consecuencia, sin confundir esas frases con contenido de la idea. Es una combinación de deterministico y no deterministico, por lo que el comportamiento puede variar."/>
  </r>
  <r>
    <s v="REQ-043"/>
    <s v="I-12"/>
    <s v="Nuevo"/>
    <s v="Seed thoughts por campaña"/>
    <x v="3"/>
    <s v="Permite cargar 'ideas semilla' por campaña para orientar y estimular los aportes de los participantes."/>
  </r>
  <r>
    <s v="REQ-044"/>
    <s v="I-10"/>
    <s v="Nuevo"/>
    <s v="Flag base previa vs. en blanco"/>
    <x v="3"/>
    <s v="Interfaz para activar el tejido colectivo eligiendo si la campaña parte de una base previa o desde cero (futuro)."/>
  </r>
  <r>
    <s v="REQ-045"/>
    <s v="P-04"/>
    <s v="Nuevo"/>
    <s v="Dashboard de resultados"/>
    <x v="3"/>
    <s v="Tablero visual con el estado y los resultados de las campañas (deseable, futuro)."/>
  </r>
  <r>
    <s v="REQ-046"/>
    <s v="P-05"/>
    <s v="Nuevo"/>
    <s v="Capa de insights"/>
    <x v="3"/>
    <s v="Capa de análisis que extrae hallazgos y patrones de las ideas recogidas (futuro)."/>
  </r>
  <r>
    <s v="REQ-047"/>
    <s v="P-06"/>
    <s v="Nuevo"/>
    <s v="Destilación por lotes"/>
    <x v="3"/>
    <s v="Procesa y resume grandes volúmenes de ideas por lotes (futuro)."/>
  </r>
  <r>
    <s v="REQ-049"/>
    <s v="P-08"/>
    <s v="Nuevo"/>
    <s v="Recordatorios / nudges"/>
    <x v="3"/>
    <s v="Recordatorios automáticos a quienes no han respondido (requiere plantilla aprobada; futuro)."/>
  </r>
  <r>
    <s v="REQ-051"/>
    <s v="P-11"/>
    <s v="Nuevo"/>
    <s v="Informe consolidado"/>
    <x v="3"/>
    <s v="Genera un informe consolidado de resultados por campaña (deseable, futuro)."/>
  </r>
  <r>
    <s v="REQ-052"/>
    <m/>
    <s v="Nuevo"/>
    <s v="Manuales de parametrización"/>
    <x v="3"/>
    <s v="Documentos de funcionamiento y configuración del ssitema."/>
  </r>
  <r>
    <s v="REQ-053"/>
    <m/>
    <s v="Nuevo"/>
    <s v="Multidioma "/>
    <x v="3"/>
    <s v="Permite que el sistema interactue con el participante en el idioma almacenado en los datos de usuari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39893C-C406-4E9A-87EE-AC15745710A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J25" firstHeaderRow="1" firstDataRow="1" firstDataCol="1"/>
  <pivotFields count="6">
    <pivotField showAll="0"/>
    <pivotField showAll="0"/>
    <pivotField showAll="0"/>
    <pivotField showAll="0"/>
    <pivotField axis="axisRow" dataField="1" showAll="0">
      <items count="6">
        <item x="0"/>
        <item x="2"/>
        <item x="3"/>
        <item x="1"/>
        <item x="4"/>
        <item t="default"/>
      </items>
    </pivotField>
    <pivotField showAll="0"/>
  </pivotFields>
  <rowFields count="1">
    <field x="4"/>
  </rowFields>
  <rowItems count="6">
    <i>
      <x/>
    </i>
    <i>
      <x v="1"/>
    </i>
    <i>
      <x v="2"/>
    </i>
    <i>
      <x v="3"/>
    </i>
    <i>
      <x v="4"/>
    </i>
    <i t="grand">
      <x/>
    </i>
  </rowItems>
  <colItems count="1">
    <i/>
  </colItems>
  <dataFields count="1">
    <dataField name="Count of Estad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8"/>
  <sheetViews>
    <sheetView zoomScaleNormal="100" workbookViewId="0">
      <pane ySplit="1" topLeftCell="A2" activePane="bottomLeft" state="frozen"/>
      <selection pane="bottomLeft"/>
    </sheetView>
  </sheetViews>
  <sheetFormatPr defaultColWidth="8.68359375" defaultRowHeight="12.6" x14ac:dyDescent="0.45"/>
  <cols>
    <col min="1" max="1" width="9.83984375" style="2" customWidth="1"/>
    <col min="2" max="2" width="51.26171875" style="2" customWidth="1"/>
    <col min="3" max="3" width="64.26171875" style="3" customWidth="1"/>
    <col min="4" max="4" width="5.62890625" style="2" customWidth="1"/>
    <col min="5" max="5" width="9" style="2" customWidth="1"/>
    <col min="6" max="6" width="8.62890625" style="2"/>
    <col min="7" max="7" width="20.1015625" style="2" customWidth="1"/>
    <col min="8" max="8" width="13.15625" style="2" customWidth="1"/>
    <col min="9" max="9" width="12.578125" style="2" customWidth="1"/>
    <col min="10" max="10" width="11.05078125" style="2" customWidth="1"/>
    <col min="11" max="11" width="10.1015625" style="2" customWidth="1"/>
    <col min="12" max="12" width="13.20703125" style="2" customWidth="1"/>
    <col min="13" max="13" width="13.47265625" style="2" customWidth="1"/>
    <col min="14" max="14" width="12" style="2" customWidth="1"/>
    <col min="15" max="15" width="9.9453125" style="2" customWidth="1"/>
    <col min="16" max="16" width="9.68359375" style="2" customWidth="1"/>
    <col min="17" max="17" width="49.41796875" style="2" customWidth="1"/>
    <col min="18" max="16384" width="8.68359375" style="2"/>
  </cols>
  <sheetData>
    <row r="1" spans="1:17" ht="37.5" customHeight="1" x14ac:dyDescent="0.4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x14ac:dyDescent="0.45">
      <c r="A2" s="5" t="s">
        <v>17</v>
      </c>
      <c r="B2" s="6" t="s">
        <v>18</v>
      </c>
      <c r="C2" s="6" t="s">
        <v>19</v>
      </c>
      <c r="D2" s="5" t="s">
        <v>20</v>
      </c>
      <c r="E2" s="5" t="s">
        <v>21</v>
      </c>
      <c r="F2" s="5" t="s">
        <v>22</v>
      </c>
      <c r="G2" s="5" t="s">
        <v>23</v>
      </c>
      <c r="H2" s="5" t="s">
        <v>24</v>
      </c>
      <c r="I2" s="7"/>
      <c r="J2" s="7"/>
      <c r="K2" s="8"/>
      <c r="L2" s="8" t="str">
        <f t="shared" ref="L2:L12" si="0">IF(AND(I2&lt;&gt;"",K2&lt;&gt;""),I2*K2,"")</f>
        <v/>
      </c>
      <c r="M2" s="8" t="str">
        <f t="shared" ref="M2:M12" si="1">IF(AND(J2&lt;&gt;"",K2&lt;&gt;""),J2*K2,"")</f>
        <v/>
      </c>
      <c r="N2" s="5" t="s">
        <v>25</v>
      </c>
      <c r="O2" s="5" t="s">
        <v>24</v>
      </c>
      <c r="P2" s="5"/>
      <c r="Q2" s="6" t="s">
        <v>26</v>
      </c>
    </row>
    <row r="3" spans="1:17" x14ac:dyDescent="0.45">
      <c r="A3" s="5" t="s">
        <v>27</v>
      </c>
      <c r="B3" s="6" t="s">
        <v>28</v>
      </c>
      <c r="C3" s="6" t="s">
        <v>29</v>
      </c>
      <c r="D3" s="5" t="s">
        <v>20</v>
      </c>
      <c r="E3" s="5" t="s">
        <v>21</v>
      </c>
      <c r="F3" s="5" t="s">
        <v>22</v>
      </c>
      <c r="G3" s="5" t="s">
        <v>23</v>
      </c>
      <c r="H3" s="5" t="s">
        <v>24</v>
      </c>
      <c r="I3" s="7"/>
      <c r="J3" s="7"/>
      <c r="K3" s="8"/>
      <c r="L3" s="8" t="str">
        <f t="shared" si="0"/>
        <v/>
      </c>
      <c r="M3" s="8" t="str">
        <f t="shared" si="1"/>
        <v/>
      </c>
      <c r="N3" s="5" t="s">
        <v>25</v>
      </c>
      <c r="O3" s="5" t="s">
        <v>24</v>
      </c>
      <c r="P3" s="5"/>
      <c r="Q3" s="6" t="s">
        <v>30</v>
      </c>
    </row>
    <row r="4" spans="1:17" ht="24.75" customHeight="1" x14ac:dyDescent="0.45">
      <c r="A4" s="5" t="s">
        <v>31</v>
      </c>
      <c r="B4" s="6" t="s">
        <v>32</v>
      </c>
      <c r="C4" s="6" t="s">
        <v>33</v>
      </c>
      <c r="D4" s="5" t="s">
        <v>20</v>
      </c>
      <c r="E4" s="5" t="s">
        <v>21</v>
      </c>
      <c r="F4" s="5" t="s">
        <v>34</v>
      </c>
      <c r="G4" s="5" t="s">
        <v>23</v>
      </c>
      <c r="H4" s="5" t="s">
        <v>24</v>
      </c>
      <c r="I4" s="7"/>
      <c r="J4" s="7"/>
      <c r="K4" s="8"/>
      <c r="L4" s="8" t="str">
        <f t="shared" si="0"/>
        <v/>
      </c>
      <c r="M4" s="8" t="str">
        <f t="shared" si="1"/>
        <v/>
      </c>
      <c r="N4" s="5" t="s">
        <v>25</v>
      </c>
      <c r="O4" s="5" t="s">
        <v>24</v>
      </c>
      <c r="P4" s="5" t="s">
        <v>35</v>
      </c>
      <c r="Q4" s="6" t="s">
        <v>36</v>
      </c>
    </row>
    <row r="5" spans="1:17" ht="24.75" customHeight="1" x14ac:dyDescent="0.45">
      <c r="A5" s="5" t="s">
        <v>37</v>
      </c>
      <c r="B5" s="6" t="s">
        <v>38</v>
      </c>
      <c r="C5" s="6" t="s">
        <v>39</v>
      </c>
      <c r="D5" s="5" t="s">
        <v>20</v>
      </c>
      <c r="E5" s="5" t="s">
        <v>21</v>
      </c>
      <c r="F5" s="5" t="s">
        <v>34</v>
      </c>
      <c r="G5" s="5" t="s">
        <v>23</v>
      </c>
      <c r="H5" s="5" t="s">
        <v>24</v>
      </c>
      <c r="I5" s="7"/>
      <c r="J5" s="7"/>
      <c r="K5" s="8"/>
      <c r="L5" s="8" t="str">
        <f t="shared" si="0"/>
        <v/>
      </c>
      <c r="M5" s="8" t="str">
        <f t="shared" si="1"/>
        <v/>
      </c>
      <c r="N5" s="5" t="s">
        <v>25</v>
      </c>
      <c r="O5" s="5" t="s">
        <v>24</v>
      </c>
      <c r="P5" s="5" t="s">
        <v>35</v>
      </c>
      <c r="Q5" s="6" t="s">
        <v>40</v>
      </c>
    </row>
    <row r="6" spans="1:17" ht="24.75" customHeight="1" x14ac:dyDescent="0.45">
      <c r="A6" s="5" t="s">
        <v>41</v>
      </c>
      <c r="B6" s="6" t="s">
        <v>42</v>
      </c>
      <c r="C6" s="6" t="s">
        <v>43</v>
      </c>
      <c r="D6" s="5" t="s">
        <v>20</v>
      </c>
      <c r="E6" s="5" t="s">
        <v>21</v>
      </c>
      <c r="F6" s="5" t="s">
        <v>34</v>
      </c>
      <c r="G6" s="5" t="s">
        <v>23</v>
      </c>
      <c r="H6" s="5" t="s">
        <v>24</v>
      </c>
      <c r="I6" s="7"/>
      <c r="J6" s="7"/>
      <c r="K6" s="8"/>
      <c r="L6" s="8" t="str">
        <f t="shared" si="0"/>
        <v/>
      </c>
      <c r="M6" s="8" t="str">
        <f t="shared" si="1"/>
        <v/>
      </c>
      <c r="N6" s="5" t="s">
        <v>25</v>
      </c>
      <c r="O6" s="5" t="s">
        <v>24</v>
      </c>
      <c r="P6" s="5" t="s">
        <v>35</v>
      </c>
      <c r="Q6" s="6" t="s">
        <v>44</v>
      </c>
    </row>
    <row r="7" spans="1:17" ht="24.75" customHeight="1" x14ac:dyDescent="0.45">
      <c r="A7" s="5" t="s">
        <v>45</v>
      </c>
      <c r="B7" s="6" t="s">
        <v>46</v>
      </c>
      <c r="C7" s="6" t="s">
        <v>47</v>
      </c>
      <c r="D7" s="5" t="s">
        <v>20</v>
      </c>
      <c r="E7" s="5" t="s">
        <v>21</v>
      </c>
      <c r="F7" s="5" t="s">
        <v>34</v>
      </c>
      <c r="G7" s="5" t="s">
        <v>23</v>
      </c>
      <c r="H7" s="5" t="s">
        <v>24</v>
      </c>
      <c r="I7" s="7"/>
      <c r="J7" s="7"/>
      <c r="K7" s="8"/>
      <c r="L7" s="8" t="str">
        <f t="shared" si="0"/>
        <v/>
      </c>
      <c r="M7" s="8" t="str">
        <f t="shared" si="1"/>
        <v/>
      </c>
      <c r="N7" s="5" t="s">
        <v>25</v>
      </c>
      <c r="O7" s="5" t="s">
        <v>24</v>
      </c>
      <c r="P7" s="5" t="s">
        <v>35</v>
      </c>
      <c r="Q7" s="6" t="s">
        <v>48</v>
      </c>
    </row>
    <row r="8" spans="1:17" ht="24.75" customHeight="1" x14ac:dyDescent="0.45">
      <c r="A8" s="5" t="s">
        <v>49</v>
      </c>
      <c r="B8" s="6" t="s">
        <v>50</v>
      </c>
      <c r="C8" s="6" t="s">
        <v>51</v>
      </c>
      <c r="D8" s="5" t="s">
        <v>20</v>
      </c>
      <c r="E8" s="5" t="s">
        <v>21</v>
      </c>
      <c r="F8" s="5" t="s">
        <v>34</v>
      </c>
      <c r="G8" s="5" t="s">
        <v>23</v>
      </c>
      <c r="H8" s="5" t="s">
        <v>24</v>
      </c>
      <c r="I8" s="7"/>
      <c r="J8" s="7"/>
      <c r="K8" s="8"/>
      <c r="L8" s="8" t="str">
        <f t="shared" si="0"/>
        <v/>
      </c>
      <c r="M8" s="8" t="str">
        <f t="shared" si="1"/>
        <v/>
      </c>
      <c r="N8" s="5" t="s">
        <v>25</v>
      </c>
      <c r="O8" s="5" t="s">
        <v>24</v>
      </c>
      <c r="P8" s="5" t="s">
        <v>35</v>
      </c>
      <c r="Q8" s="6" t="s">
        <v>52</v>
      </c>
    </row>
    <row r="9" spans="1:17" ht="24.75" customHeight="1" x14ac:dyDescent="0.45">
      <c r="A9" s="5" t="s">
        <v>53</v>
      </c>
      <c r="B9" s="6" t="s">
        <v>54</v>
      </c>
      <c r="C9" s="6" t="s">
        <v>55</v>
      </c>
      <c r="D9" s="5" t="s">
        <v>20</v>
      </c>
      <c r="E9" s="5" t="s">
        <v>56</v>
      </c>
      <c r="F9" s="5" t="s">
        <v>34</v>
      </c>
      <c r="G9" s="5" t="s">
        <v>23</v>
      </c>
      <c r="H9" s="5" t="s">
        <v>24</v>
      </c>
      <c r="I9" s="7"/>
      <c r="J9" s="7"/>
      <c r="K9" s="8"/>
      <c r="L9" s="8" t="str">
        <f t="shared" si="0"/>
        <v/>
      </c>
      <c r="M9" s="8" t="str">
        <f t="shared" si="1"/>
        <v/>
      </c>
      <c r="N9" s="5" t="s">
        <v>25</v>
      </c>
      <c r="O9" s="5" t="s">
        <v>24</v>
      </c>
      <c r="P9" s="5" t="s">
        <v>35</v>
      </c>
      <c r="Q9" s="6" t="s">
        <v>57</v>
      </c>
    </row>
    <row r="10" spans="1:17" ht="24.75" customHeight="1" x14ac:dyDescent="0.45">
      <c r="A10" s="5" t="s">
        <v>58</v>
      </c>
      <c r="B10" s="6" t="s">
        <v>59</v>
      </c>
      <c r="C10" s="6" t="s">
        <v>60</v>
      </c>
      <c r="D10" s="5" t="s">
        <v>20</v>
      </c>
      <c r="E10" s="5" t="s">
        <v>21</v>
      </c>
      <c r="F10" s="5" t="s">
        <v>34</v>
      </c>
      <c r="G10" s="5" t="s">
        <v>23</v>
      </c>
      <c r="H10" s="5" t="s">
        <v>24</v>
      </c>
      <c r="I10" s="7"/>
      <c r="J10" s="7"/>
      <c r="K10" s="8"/>
      <c r="L10" s="8" t="str">
        <f t="shared" si="0"/>
        <v/>
      </c>
      <c r="M10" s="8" t="str">
        <f t="shared" si="1"/>
        <v/>
      </c>
      <c r="N10" s="5" t="s">
        <v>25</v>
      </c>
      <c r="O10" s="5" t="s">
        <v>24</v>
      </c>
      <c r="P10" s="5" t="s">
        <v>35</v>
      </c>
      <c r="Q10" s="6" t="s">
        <v>61</v>
      </c>
    </row>
    <row r="11" spans="1:17" ht="24.75" customHeight="1" x14ac:dyDescent="0.45">
      <c r="A11" s="5" t="s">
        <v>62</v>
      </c>
      <c r="B11" s="6" t="s">
        <v>63</v>
      </c>
      <c r="C11" s="6" t="s">
        <v>64</v>
      </c>
      <c r="D11" s="5" t="s">
        <v>20</v>
      </c>
      <c r="E11" s="5" t="s">
        <v>21</v>
      </c>
      <c r="F11" s="5" t="s">
        <v>34</v>
      </c>
      <c r="G11" s="5" t="s">
        <v>23</v>
      </c>
      <c r="H11" s="5" t="s">
        <v>24</v>
      </c>
      <c r="I11" s="7"/>
      <c r="J11" s="7"/>
      <c r="K11" s="8"/>
      <c r="L11" s="8" t="str">
        <f t="shared" si="0"/>
        <v/>
      </c>
      <c r="M11" s="8" t="str">
        <f t="shared" si="1"/>
        <v/>
      </c>
      <c r="N11" s="5" t="s">
        <v>25</v>
      </c>
      <c r="O11" s="5" t="s">
        <v>24</v>
      </c>
      <c r="P11" s="5" t="s">
        <v>35</v>
      </c>
      <c r="Q11" s="6" t="s">
        <v>65</v>
      </c>
    </row>
    <row r="12" spans="1:17" ht="24.75" customHeight="1" x14ac:dyDescent="0.45">
      <c r="A12" s="5" t="s">
        <v>66</v>
      </c>
      <c r="B12" s="6" t="s">
        <v>67</v>
      </c>
      <c r="C12" s="6" t="s">
        <v>68</v>
      </c>
      <c r="D12" s="5" t="s">
        <v>20</v>
      </c>
      <c r="E12" s="5" t="s">
        <v>21</v>
      </c>
      <c r="F12" s="5" t="s">
        <v>34</v>
      </c>
      <c r="G12" s="5" t="s">
        <v>23</v>
      </c>
      <c r="H12" s="5" t="s">
        <v>24</v>
      </c>
      <c r="I12" s="7"/>
      <c r="J12" s="7"/>
      <c r="K12" s="8"/>
      <c r="L12" s="8" t="str">
        <f t="shared" si="0"/>
        <v/>
      </c>
      <c r="M12" s="8" t="str">
        <f t="shared" si="1"/>
        <v/>
      </c>
      <c r="N12" s="5" t="s">
        <v>25</v>
      </c>
      <c r="O12" s="5" t="s">
        <v>24</v>
      </c>
      <c r="P12" s="5" t="s">
        <v>35</v>
      </c>
      <c r="Q12" s="6" t="s">
        <v>69</v>
      </c>
    </row>
    <row r="13" spans="1:17" x14ac:dyDescent="0.45">
      <c r="A13" s="5"/>
      <c r="B13" s="6"/>
      <c r="C13" s="6"/>
      <c r="D13" s="5"/>
      <c r="E13" s="5"/>
      <c r="F13" s="5"/>
      <c r="G13" s="5"/>
      <c r="H13" s="5"/>
      <c r="I13" s="7"/>
      <c r="J13" s="7"/>
      <c r="K13" s="8"/>
      <c r="L13" s="8"/>
      <c r="M13" s="8"/>
      <c r="N13" s="5"/>
      <c r="O13" s="5"/>
      <c r="P13" s="5"/>
      <c r="Q13" s="6"/>
    </row>
    <row r="14" spans="1:17" x14ac:dyDescent="0.45">
      <c r="A14" s="5"/>
      <c r="B14" s="6"/>
      <c r="C14" s="6"/>
      <c r="D14" s="5"/>
      <c r="E14" s="5"/>
      <c r="F14" s="5"/>
      <c r="G14" s="5"/>
      <c r="H14" s="5"/>
      <c r="I14" s="7"/>
      <c r="J14" s="7"/>
      <c r="K14" s="8"/>
      <c r="L14" s="8"/>
      <c r="M14" s="8"/>
      <c r="N14" s="5"/>
      <c r="O14" s="5"/>
      <c r="P14" s="5"/>
      <c r="Q14" s="6"/>
    </row>
    <row r="15" spans="1:17" x14ac:dyDescent="0.45">
      <c r="A15" s="5"/>
      <c r="B15" s="6"/>
      <c r="C15" s="6"/>
      <c r="D15" s="5"/>
      <c r="E15" s="5"/>
      <c r="F15" s="5"/>
      <c r="G15" s="5"/>
      <c r="H15" s="5"/>
      <c r="I15" s="7"/>
      <c r="J15" s="7"/>
      <c r="K15" s="8"/>
      <c r="L15" s="8" t="str">
        <f t="shared" ref="L15:L46" si="2">IF(AND(I15&lt;&gt;"",K15&lt;&gt;""),I15*K15,"")</f>
        <v/>
      </c>
      <c r="M15" s="8" t="str">
        <f t="shared" ref="M15:M46" si="3">IF(AND(J15&lt;&gt;"",K15&lt;&gt;""),J15*K15,"")</f>
        <v/>
      </c>
      <c r="N15" s="5"/>
      <c r="O15" s="5"/>
      <c r="P15" s="5"/>
      <c r="Q15" s="6"/>
    </row>
    <row r="16" spans="1:17" x14ac:dyDescent="0.45">
      <c r="A16" s="5"/>
      <c r="B16" s="6"/>
      <c r="C16" s="6"/>
      <c r="D16" s="5"/>
      <c r="E16" s="5"/>
      <c r="F16" s="5"/>
      <c r="G16" s="5"/>
      <c r="H16" s="5"/>
      <c r="I16" s="7"/>
      <c r="J16" s="7"/>
      <c r="K16" s="8"/>
      <c r="L16" s="8" t="str">
        <f t="shared" si="2"/>
        <v/>
      </c>
      <c r="M16" s="8" t="str">
        <f t="shared" si="3"/>
        <v/>
      </c>
      <c r="N16" s="5"/>
      <c r="O16" s="5"/>
      <c r="P16" s="5"/>
      <c r="Q16" s="6"/>
    </row>
    <row r="17" spans="1:17" x14ac:dyDescent="0.45">
      <c r="A17" s="5"/>
      <c r="B17" s="6"/>
      <c r="C17" s="6"/>
      <c r="D17" s="5"/>
      <c r="E17" s="5"/>
      <c r="F17" s="5"/>
      <c r="G17" s="5"/>
      <c r="H17" s="5"/>
      <c r="I17" s="7"/>
      <c r="J17" s="7"/>
      <c r="K17" s="8"/>
      <c r="L17" s="8" t="str">
        <f t="shared" si="2"/>
        <v/>
      </c>
      <c r="M17" s="8" t="str">
        <f t="shared" si="3"/>
        <v/>
      </c>
      <c r="N17" s="5"/>
      <c r="O17" s="5"/>
      <c r="P17" s="5"/>
      <c r="Q17" s="6"/>
    </row>
    <row r="18" spans="1:17" x14ac:dyDescent="0.45">
      <c r="A18" s="5"/>
      <c r="B18" s="6"/>
      <c r="C18" s="6"/>
      <c r="D18" s="5"/>
      <c r="E18" s="5"/>
      <c r="F18" s="5"/>
      <c r="G18" s="5"/>
      <c r="H18" s="5"/>
      <c r="I18" s="7"/>
      <c r="J18" s="7"/>
      <c r="K18" s="8"/>
      <c r="L18" s="8" t="str">
        <f t="shared" si="2"/>
        <v/>
      </c>
      <c r="M18" s="8" t="str">
        <f t="shared" si="3"/>
        <v/>
      </c>
      <c r="N18" s="5"/>
      <c r="O18" s="5"/>
      <c r="P18" s="5"/>
      <c r="Q18" s="6"/>
    </row>
    <row r="19" spans="1:17" x14ac:dyDescent="0.45">
      <c r="A19" s="5"/>
      <c r="B19" s="6"/>
      <c r="C19" s="6"/>
      <c r="D19" s="5"/>
      <c r="E19" s="5"/>
      <c r="F19" s="5"/>
      <c r="G19" s="5"/>
      <c r="H19" s="5"/>
      <c r="I19" s="7"/>
      <c r="J19" s="7"/>
      <c r="K19" s="8"/>
      <c r="L19" s="8" t="str">
        <f t="shared" si="2"/>
        <v/>
      </c>
      <c r="M19" s="8" t="str">
        <f t="shared" si="3"/>
        <v/>
      </c>
      <c r="N19" s="5"/>
      <c r="O19" s="5"/>
      <c r="P19" s="5"/>
      <c r="Q19" s="6"/>
    </row>
    <row r="20" spans="1:17" x14ac:dyDescent="0.45">
      <c r="A20" s="5"/>
      <c r="B20" s="6"/>
      <c r="C20" s="6"/>
      <c r="D20" s="5"/>
      <c r="E20" s="5"/>
      <c r="F20" s="5"/>
      <c r="G20" s="5"/>
      <c r="H20" s="5"/>
      <c r="I20" s="7"/>
      <c r="J20" s="7"/>
      <c r="K20" s="8"/>
      <c r="L20" s="8" t="str">
        <f t="shared" si="2"/>
        <v/>
      </c>
      <c r="M20" s="8" t="str">
        <f t="shared" si="3"/>
        <v/>
      </c>
      <c r="N20" s="5"/>
      <c r="O20" s="5"/>
      <c r="P20" s="5"/>
      <c r="Q20" s="6"/>
    </row>
    <row r="21" spans="1:17" x14ac:dyDescent="0.45">
      <c r="A21" s="5"/>
      <c r="B21" s="6"/>
      <c r="C21" s="6"/>
      <c r="D21" s="5"/>
      <c r="E21" s="5"/>
      <c r="F21" s="5"/>
      <c r="G21" s="5"/>
      <c r="H21" s="5"/>
      <c r="I21" s="7"/>
      <c r="J21" s="7"/>
      <c r="K21" s="8"/>
      <c r="L21" s="8" t="str">
        <f t="shared" si="2"/>
        <v/>
      </c>
      <c r="M21" s="8" t="str">
        <f t="shared" si="3"/>
        <v/>
      </c>
      <c r="N21" s="5"/>
      <c r="O21" s="5"/>
      <c r="P21" s="5"/>
      <c r="Q21" s="6"/>
    </row>
    <row r="22" spans="1:17" x14ac:dyDescent="0.45">
      <c r="A22" s="5"/>
      <c r="B22" s="6"/>
      <c r="C22" s="6"/>
      <c r="D22" s="5"/>
      <c r="E22" s="5"/>
      <c r="F22" s="5"/>
      <c r="G22" s="5"/>
      <c r="H22" s="5"/>
      <c r="I22" s="7"/>
      <c r="J22" s="7"/>
      <c r="K22" s="8"/>
      <c r="L22" s="8" t="str">
        <f t="shared" si="2"/>
        <v/>
      </c>
      <c r="M22" s="8" t="str">
        <f t="shared" si="3"/>
        <v/>
      </c>
      <c r="N22" s="5"/>
      <c r="O22" s="5"/>
      <c r="P22" s="5"/>
      <c r="Q22" s="6"/>
    </row>
    <row r="23" spans="1:17" x14ac:dyDescent="0.45">
      <c r="A23" s="5"/>
      <c r="B23" s="6"/>
      <c r="C23" s="6"/>
      <c r="D23" s="5"/>
      <c r="E23" s="5"/>
      <c r="F23" s="5"/>
      <c r="G23" s="5"/>
      <c r="H23" s="5"/>
      <c r="I23" s="7"/>
      <c r="J23" s="7"/>
      <c r="K23" s="8"/>
      <c r="L23" s="8" t="str">
        <f t="shared" si="2"/>
        <v/>
      </c>
      <c r="M23" s="8" t="str">
        <f t="shared" si="3"/>
        <v/>
      </c>
      <c r="N23" s="5"/>
      <c r="O23" s="5"/>
      <c r="P23" s="5"/>
      <c r="Q23" s="6"/>
    </row>
    <row r="24" spans="1:17" x14ac:dyDescent="0.45">
      <c r="A24" s="5"/>
      <c r="B24" s="6"/>
      <c r="C24" s="6"/>
      <c r="D24" s="5"/>
      <c r="E24" s="5"/>
      <c r="F24" s="5"/>
      <c r="G24" s="5"/>
      <c r="H24" s="5"/>
      <c r="I24" s="7"/>
      <c r="J24" s="7"/>
      <c r="K24" s="8"/>
      <c r="L24" s="8" t="str">
        <f t="shared" si="2"/>
        <v/>
      </c>
      <c r="M24" s="8" t="str">
        <f t="shared" si="3"/>
        <v/>
      </c>
      <c r="N24" s="5"/>
      <c r="O24" s="5"/>
      <c r="P24" s="5"/>
      <c r="Q24" s="6"/>
    </row>
    <row r="25" spans="1:17" x14ac:dyDescent="0.45">
      <c r="A25" s="5"/>
      <c r="B25" s="6"/>
      <c r="C25" s="6"/>
      <c r="D25" s="5"/>
      <c r="E25" s="5"/>
      <c r="F25" s="5"/>
      <c r="G25" s="5"/>
      <c r="H25" s="5"/>
      <c r="I25" s="7"/>
      <c r="J25" s="7"/>
      <c r="K25" s="8"/>
      <c r="L25" s="8" t="str">
        <f t="shared" si="2"/>
        <v/>
      </c>
      <c r="M25" s="8" t="str">
        <f t="shared" si="3"/>
        <v/>
      </c>
      <c r="N25" s="5"/>
      <c r="O25" s="5"/>
      <c r="P25" s="5"/>
      <c r="Q25" s="6"/>
    </row>
    <row r="26" spans="1:17" x14ac:dyDescent="0.45">
      <c r="A26" s="5"/>
      <c r="B26" s="6"/>
      <c r="C26" s="6"/>
      <c r="D26" s="5"/>
      <c r="E26" s="5"/>
      <c r="F26" s="5"/>
      <c r="G26" s="5"/>
      <c r="H26" s="5"/>
      <c r="I26" s="7"/>
      <c r="J26" s="7"/>
      <c r="K26" s="8"/>
      <c r="L26" s="8" t="str">
        <f t="shared" si="2"/>
        <v/>
      </c>
      <c r="M26" s="8" t="str">
        <f t="shared" si="3"/>
        <v/>
      </c>
      <c r="N26" s="5"/>
      <c r="O26" s="5"/>
      <c r="P26" s="5"/>
      <c r="Q26" s="6"/>
    </row>
    <row r="27" spans="1:17" x14ac:dyDescent="0.45">
      <c r="A27" s="5"/>
      <c r="B27" s="6"/>
      <c r="C27" s="6"/>
      <c r="D27" s="5"/>
      <c r="E27" s="5"/>
      <c r="F27" s="5"/>
      <c r="G27" s="5"/>
      <c r="H27" s="5"/>
      <c r="I27" s="7"/>
      <c r="J27" s="7"/>
      <c r="K27" s="8"/>
      <c r="L27" s="8" t="str">
        <f t="shared" si="2"/>
        <v/>
      </c>
      <c r="M27" s="8" t="str">
        <f t="shared" si="3"/>
        <v/>
      </c>
      <c r="N27" s="5"/>
      <c r="O27" s="5"/>
      <c r="P27" s="5"/>
      <c r="Q27" s="6"/>
    </row>
    <row r="28" spans="1:17" x14ac:dyDescent="0.45">
      <c r="A28" s="5"/>
      <c r="B28" s="6"/>
      <c r="C28" s="6"/>
      <c r="D28" s="5"/>
      <c r="E28" s="5"/>
      <c r="F28" s="5"/>
      <c r="G28" s="5"/>
      <c r="H28" s="5"/>
      <c r="I28" s="7"/>
      <c r="J28" s="7"/>
      <c r="K28" s="8"/>
      <c r="L28" s="8" t="str">
        <f t="shared" si="2"/>
        <v/>
      </c>
      <c r="M28" s="8" t="str">
        <f t="shared" si="3"/>
        <v/>
      </c>
      <c r="N28" s="5"/>
      <c r="O28" s="5"/>
      <c r="P28" s="5"/>
      <c r="Q28" s="6"/>
    </row>
    <row r="29" spans="1:17" x14ac:dyDescent="0.45">
      <c r="A29" s="5"/>
      <c r="B29" s="6"/>
      <c r="C29" s="6"/>
      <c r="D29" s="5"/>
      <c r="E29" s="5"/>
      <c r="F29" s="5"/>
      <c r="G29" s="5"/>
      <c r="H29" s="5"/>
      <c r="I29" s="7"/>
      <c r="J29" s="7"/>
      <c r="K29" s="8"/>
      <c r="L29" s="8" t="str">
        <f t="shared" si="2"/>
        <v/>
      </c>
      <c r="M29" s="8" t="str">
        <f t="shared" si="3"/>
        <v/>
      </c>
      <c r="N29" s="5"/>
      <c r="O29" s="5"/>
      <c r="P29" s="5"/>
      <c r="Q29" s="6"/>
    </row>
    <row r="30" spans="1:17" x14ac:dyDescent="0.45">
      <c r="A30" s="5"/>
      <c r="B30" s="6"/>
      <c r="C30" s="6"/>
      <c r="D30" s="5"/>
      <c r="E30" s="5"/>
      <c r="F30" s="5"/>
      <c r="G30" s="5"/>
      <c r="H30" s="5"/>
      <c r="I30" s="7"/>
      <c r="J30" s="7"/>
      <c r="K30" s="8"/>
      <c r="L30" s="8" t="str">
        <f t="shared" si="2"/>
        <v/>
      </c>
      <c r="M30" s="8" t="str">
        <f t="shared" si="3"/>
        <v/>
      </c>
      <c r="N30" s="5"/>
      <c r="O30" s="5"/>
      <c r="P30" s="5"/>
      <c r="Q30" s="6"/>
    </row>
    <row r="31" spans="1:17" x14ac:dyDescent="0.45">
      <c r="A31" s="5"/>
      <c r="B31" s="6"/>
      <c r="C31" s="6"/>
      <c r="D31" s="5"/>
      <c r="E31" s="5"/>
      <c r="F31" s="5"/>
      <c r="G31" s="5"/>
      <c r="H31" s="5"/>
      <c r="I31" s="7"/>
      <c r="J31" s="7"/>
      <c r="K31" s="8"/>
      <c r="L31" s="8" t="str">
        <f t="shared" si="2"/>
        <v/>
      </c>
      <c r="M31" s="8" t="str">
        <f t="shared" si="3"/>
        <v/>
      </c>
      <c r="N31" s="5"/>
      <c r="O31" s="5"/>
      <c r="P31" s="5"/>
      <c r="Q31" s="6"/>
    </row>
    <row r="32" spans="1:17" x14ac:dyDescent="0.45">
      <c r="A32" s="5"/>
      <c r="B32" s="6"/>
      <c r="C32" s="6"/>
      <c r="D32" s="5"/>
      <c r="E32" s="5"/>
      <c r="F32" s="5"/>
      <c r="G32" s="5"/>
      <c r="H32" s="5"/>
      <c r="I32" s="7"/>
      <c r="J32" s="7"/>
      <c r="K32" s="8"/>
      <c r="L32" s="8" t="str">
        <f t="shared" si="2"/>
        <v/>
      </c>
      <c r="M32" s="8" t="str">
        <f t="shared" si="3"/>
        <v/>
      </c>
      <c r="N32" s="5"/>
      <c r="O32" s="5"/>
      <c r="P32" s="5"/>
      <c r="Q32" s="6"/>
    </row>
    <row r="33" spans="1:17" x14ac:dyDescent="0.45">
      <c r="A33" s="5"/>
      <c r="B33" s="6"/>
      <c r="C33" s="6"/>
      <c r="D33" s="5"/>
      <c r="E33" s="5"/>
      <c r="F33" s="5"/>
      <c r="G33" s="5"/>
      <c r="H33" s="5"/>
      <c r="I33" s="7"/>
      <c r="J33" s="7"/>
      <c r="K33" s="8"/>
      <c r="L33" s="8" t="str">
        <f t="shared" si="2"/>
        <v/>
      </c>
      <c r="M33" s="8" t="str">
        <f t="shared" si="3"/>
        <v/>
      </c>
      <c r="N33" s="5"/>
      <c r="O33" s="5"/>
      <c r="P33" s="5"/>
      <c r="Q33" s="6"/>
    </row>
    <row r="34" spans="1:17" x14ac:dyDescent="0.45">
      <c r="A34" s="5"/>
      <c r="B34" s="6"/>
      <c r="C34" s="6"/>
      <c r="D34" s="5"/>
      <c r="E34" s="5"/>
      <c r="F34" s="5"/>
      <c r="G34" s="5"/>
      <c r="H34" s="5"/>
      <c r="I34" s="7"/>
      <c r="J34" s="7"/>
      <c r="K34" s="8"/>
      <c r="L34" s="8" t="str">
        <f t="shared" si="2"/>
        <v/>
      </c>
      <c r="M34" s="8" t="str">
        <f t="shared" si="3"/>
        <v/>
      </c>
      <c r="N34" s="5"/>
      <c r="O34" s="5"/>
      <c r="P34" s="5"/>
      <c r="Q34" s="6"/>
    </row>
    <row r="35" spans="1:17" x14ac:dyDescent="0.45">
      <c r="A35" s="5"/>
      <c r="B35" s="6"/>
      <c r="C35" s="6"/>
      <c r="D35" s="5"/>
      <c r="E35" s="5"/>
      <c r="F35" s="5"/>
      <c r="G35" s="5"/>
      <c r="H35" s="5"/>
      <c r="I35" s="7"/>
      <c r="J35" s="7"/>
      <c r="K35" s="8"/>
      <c r="L35" s="8" t="str">
        <f t="shared" si="2"/>
        <v/>
      </c>
      <c r="M35" s="8" t="str">
        <f t="shared" si="3"/>
        <v/>
      </c>
      <c r="N35" s="5"/>
      <c r="O35" s="5"/>
      <c r="P35" s="5"/>
      <c r="Q35" s="6"/>
    </row>
    <row r="36" spans="1:17" x14ac:dyDescent="0.45">
      <c r="A36" s="5"/>
      <c r="B36" s="6"/>
      <c r="C36" s="6"/>
      <c r="D36" s="5"/>
      <c r="E36" s="5"/>
      <c r="F36" s="5"/>
      <c r="G36" s="5"/>
      <c r="H36" s="5"/>
      <c r="I36" s="7"/>
      <c r="J36" s="7"/>
      <c r="K36" s="8"/>
      <c r="L36" s="8" t="str">
        <f t="shared" si="2"/>
        <v/>
      </c>
      <c r="M36" s="8" t="str">
        <f t="shared" si="3"/>
        <v/>
      </c>
      <c r="N36" s="5"/>
      <c r="O36" s="5"/>
      <c r="P36" s="5"/>
      <c r="Q36" s="6"/>
    </row>
    <row r="37" spans="1:17" x14ac:dyDescent="0.45">
      <c r="A37" s="5"/>
      <c r="B37" s="6"/>
      <c r="C37" s="6"/>
      <c r="D37" s="5"/>
      <c r="E37" s="5"/>
      <c r="F37" s="5"/>
      <c r="G37" s="5"/>
      <c r="H37" s="5"/>
      <c r="I37" s="7"/>
      <c r="J37" s="7"/>
      <c r="K37" s="8"/>
      <c r="L37" s="8" t="str">
        <f t="shared" si="2"/>
        <v/>
      </c>
      <c r="M37" s="8" t="str">
        <f t="shared" si="3"/>
        <v/>
      </c>
      <c r="N37" s="5"/>
      <c r="O37" s="5"/>
      <c r="P37" s="5"/>
      <c r="Q37" s="6"/>
    </row>
    <row r="38" spans="1:17" x14ac:dyDescent="0.45">
      <c r="A38" s="5"/>
      <c r="B38" s="6"/>
      <c r="C38" s="6"/>
      <c r="D38" s="5"/>
      <c r="E38" s="5"/>
      <c r="F38" s="5"/>
      <c r="G38" s="5"/>
      <c r="H38" s="5"/>
      <c r="I38" s="7"/>
      <c r="J38" s="7"/>
      <c r="K38" s="8"/>
      <c r="L38" s="8" t="str">
        <f t="shared" si="2"/>
        <v/>
      </c>
      <c r="M38" s="8" t="str">
        <f t="shared" si="3"/>
        <v/>
      </c>
      <c r="N38" s="5"/>
      <c r="O38" s="5"/>
      <c r="P38" s="5"/>
      <c r="Q38" s="6"/>
    </row>
    <row r="39" spans="1:17" x14ac:dyDescent="0.45">
      <c r="A39" s="5"/>
      <c r="B39" s="6"/>
      <c r="C39" s="6"/>
      <c r="D39" s="5"/>
      <c r="E39" s="5"/>
      <c r="F39" s="5"/>
      <c r="G39" s="5"/>
      <c r="H39" s="5"/>
      <c r="I39" s="7"/>
      <c r="J39" s="7"/>
      <c r="K39" s="8"/>
      <c r="L39" s="8" t="str">
        <f t="shared" si="2"/>
        <v/>
      </c>
      <c r="M39" s="8" t="str">
        <f t="shared" si="3"/>
        <v/>
      </c>
      <c r="N39" s="5"/>
      <c r="O39" s="5"/>
      <c r="P39" s="5"/>
      <c r="Q39" s="6"/>
    </row>
    <row r="40" spans="1:17" x14ac:dyDescent="0.45">
      <c r="A40" s="5"/>
      <c r="B40" s="6"/>
      <c r="C40" s="6"/>
      <c r="D40" s="5"/>
      <c r="E40" s="5"/>
      <c r="F40" s="5"/>
      <c r="G40" s="5"/>
      <c r="H40" s="5"/>
      <c r="I40" s="7"/>
      <c r="J40" s="7"/>
      <c r="K40" s="8"/>
      <c r="L40" s="8" t="str">
        <f t="shared" si="2"/>
        <v/>
      </c>
      <c r="M40" s="8" t="str">
        <f t="shared" si="3"/>
        <v/>
      </c>
      <c r="N40" s="5"/>
      <c r="O40" s="5"/>
      <c r="P40" s="5"/>
      <c r="Q40" s="6"/>
    </row>
    <row r="41" spans="1:17" x14ac:dyDescent="0.45">
      <c r="A41" s="5"/>
      <c r="B41" s="6"/>
      <c r="C41" s="6"/>
      <c r="D41" s="5"/>
      <c r="E41" s="5"/>
      <c r="F41" s="5"/>
      <c r="G41" s="5"/>
      <c r="H41" s="5"/>
      <c r="I41" s="7"/>
      <c r="J41" s="7"/>
      <c r="K41" s="8"/>
      <c r="L41" s="8" t="str">
        <f t="shared" si="2"/>
        <v/>
      </c>
      <c r="M41" s="8" t="str">
        <f t="shared" si="3"/>
        <v/>
      </c>
      <c r="N41" s="5"/>
      <c r="O41" s="5"/>
      <c r="P41" s="5"/>
      <c r="Q41" s="6"/>
    </row>
    <row r="42" spans="1:17" x14ac:dyDescent="0.45">
      <c r="A42" s="5"/>
      <c r="B42" s="6"/>
      <c r="C42" s="6"/>
      <c r="D42" s="5"/>
      <c r="E42" s="5"/>
      <c r="F42" s="5"/>
      <c r="G42" s="5"/>
      <c r="H42" s="5"/>
      <c r="I42" s="7"/>
      <c r="J42" s="7"/>
      <c r="K42" s="8"/>
      <c r="L42" s="8" t="str">
        <f t="shared" si="2"/>
        <v/>
      </c>
      <c r="M42" s="8" t="str">
        <f t="shared" si="3"/>
        <v/>
      </c>
      <c r="N42" s="5"/>
      <c r="O42" s="5"/>
      <c r="P42" s="5"/>
      <c r="Q42" s="6"/>
    </row>
    <row r="43" spans="1:17" x14ac:dyDescent="0.45">
      <c r="A43" s="5"/>
      <c r="B43" s="6"/>
      <c r="C43" s="6"/>
      <c r="D43" s="5"/>
      <c r="E43" s="5"/>
      <c r="F43" s="5"/>
      <c r="G43" s="5"/>
      <c r="H43" s="5"/>
      <c r="I43" s="7"/>
      <c r="J43" s="7"/>
      <c r="K43" s="8"/>
      <c r="L43" s="8" t="str">
        <f t="shared" si="2"/>
        <v/>
      </c>
      <c r="M43" s="8" t="str">
        <f t="shared" si="3"/>
        <v/>
      </c>
      <c r="N43" s="5"/>
      <c r="O43" s="5"/>
      <c r="P43" s="5"/>
      <c r="Q43" s="6"/>
    </row>
    <row r="44" spans="1:17" x14ac:dyDescent="0.45">
      <c r="A44" s="5"/>
      <c r="B44" s="6"/>
      <c r="C44" s="6"/>
      <c r="D44" s="5"/>
      <c r="E44" s="5"/>
      <c r="F44" s="5"/>
      <c r="G44" s="5"/>
      <c r="H44" s="5"/>
      <c r="I44" s="7"/>
      <c r="J44" s="7"/>
      <c r="K44" s="8"/>
      <c r="L44" s="8" t="str">
        <f t="shared" si="2"/>
        <v/>
      </c>
      <c r="M44" s="8" t="str">
        <f t="shared" si="3"/>
        <v/>
      </c>
      <c r="N44" s="5"/>
      <c r="O44" s="5"/>
      <c r="P44" s="5"/>
      <c r="Q44" s="6"/>
    </row>
    <row r="45" spans="1:17" x14ac:dyDescent="0.45">
      <c r="A45" s="5"/>
      <c r="B45" s="6"/>
      <c r="C45" s="6"/>
      <c r="D45" s="5"/>
      <c r="E45" s="5"/>
      <c r="F45" s="5"/>
      <c r="G45" s="5"/>
      <c r="H45" s="5"/>
      <c r="I45" s="7"/>
      <c r="J45" s="7"/>
      <c r="K45" s="8"/>
      <c r="L45" s="8" t="str">
        <f t="shared" si="2"/>
        <v/>
      </c>
      <c r="M45" s="8" t="str">
        <f t="shared" si="3"/>
        <v/>
      </c>
      <c r="N45" s="5"/>
      <c r="O45" s="5"/>
      <c r="P45" s="5"/>
      <c r="Q45" s="6"/>
    </row>
    <row r="46" spans="1:17" x14ac:dyDescent="0.45">
      <c r="A46" s="5"/>
      <c r="B46" s="6"/>
      <c r="C46" s="6"/>
      <c r="D46" s="5"/>
      <c r="E46" s="5"/>
      <c r="F46" s="5"/>
      <c r="G46" s="5"/>
      <c r="H46" s="5"/>
      <c r="I46" s="7"/>
      <c r="J46" s="7"/>
      <c r="K46" s="8"/>
      <c r="L46" s="8" t="str">
        <f t="shared" si="2"/>
        <v/>
      </c>
      <c r="M46" s="8" t="str">
        <f t="shared" si="3"/>
        <v/>
      </c>
      <c r="N46" s="5"/>
      <c r="O46" s="5"/>
      <c r="P46" s="5"/>
      <c r="Q46" s="6"/>
    </row>
    <row r="47" spans="1:17" x14ac:dyDescent="0.45">
      <c r="A47" s="5"/>
      <c r="B47" s="6"/>
      <c r="C47" s="6"/>
      <c r="D47" s="5"/>
      <c r="E47" s="5"/>
      <c r="F47" s="5"/>
      <c r="G47" s="5"/>
      <c r="H47" s="5"/>
      <c r="I47" s="7"/>
      <c r="J47" s="7"/>
      <c r="K47" s="8"/>
      <c r="L47" s="8" t="str">
        <f t="shared" ref="L47:L78" si="4">IF(AND(I47&lt;&gt;"",K47&lt;&gt;""),I47*K47,"")</f>
        <v/>
      </c>
      <c r="M47" s="8" t="str">
        <f t="shared" ref="M47:M78" si="5">IF(AND(J47&lt;&gt;"",K47&lt;&gt;""),J47*K47,"")</f>
        <v/>
      </c>
      <c r="N47" s="5"/>
      <c r="O47" s="5"/>
      <c r="P47" s="5"/>
      <c r="Q47" s="6"/>
    </row>
    <row r="48" spans="1:17" x14ac:dyDescent="0.45">
      <c r="A48" s="5"/>
      <c r="B48" s="6"/>
      <c r="C48" s="6"/>
      <c r="D48" s="5"/>
      <c r="E48" s="5"/>
      <c r="F48" s="5"/>
      <c r="G48" s="5"/>
      <c r="H48" s="5"/>
      <c r="I48" s="7"/>
      <c r="J48" s="7"/>
      <c r="K48" s="8"/>
      <c r="L48" s="8" t="str">
        <f t="shared" si="4"/>
        <v/>
      </c>
      <c r="M48" s="8" t="str">
        <f t="shared" si="5"/>
        <v/>
      </c>
      <c r="N48" s="5"/>
      <c r="O48" s="5"/>
      <c r="P48" s="5"/>
      <c r="Q48" s="6"/>
    </row>
    <row r="49" spans="1:17" x14ac:dyDescent="0.45">
      <c r="A49" s="5"/>
      <c r="B49" s="6"/>
      <c r="C49" s="6"/>
      <c r="D49" s="5"/>
      <c r="E49" s="5"/>
      <c r="F49" s="5"/>
      <c r="G49" s="5"/>
      <c r="H49" s="5"/>
      <c r="I49" s="7"/>
      <c r="J49" s="7"/>
      <c r="K49" s="8"/>
      <c r="L49" s="8" t="str">
        <f t="shared" si="4"/>
        <v/>
      </c>
      <c r="M49" s="8" t="str">
        <f t="shared" si="5"/>
        <v/>
      </c>
      <c r="N49" s="5"/>
      <c r="O49" s="5"/>
      <c r="P49" s="5"/>
      <c r="Q49" s="6"/>
    </row>
    <row r="50" spans="1:17" x14ac:dyDescent="0.45">
      <c r="A50" s="5"/>
      <c r="B50" s="6"/>
      <c r="C50" s="6"/>
      <c r="D50" s="5"/>
      <c r="E50" s="5"/>
      <c r="F50" s="5"/>
      <c r="G50" s="5"/>
      <c r="H50" s="5"/>
      <c r="I50" s="7"/>
      <c r="J50" s="7"/>
      <c r="K50" s="8"/>
      <c r="L50" s="8" t="str">
        <f t="shared" si="4"/>
        <v/>
      </c>
      <c r="M50" s="8" t="str">
        <f t="shared" si="5"/>
        <v/>
      </c>
      <c r="N50" s="5"/>
      <c r="O50" s="5"/>
      <c r="P50" s="5"/>
      <c r="Q50" s="6"/>
    </row>
    <row r="51" spans="1:17" x14ac:dyDescent="0.45">
      <c r="A51" s="5"/>
      <c r="B51" s="6"/>
      <c r="C51" s="6"/>
      <c r="D51" s="5"/>
      <c r="E51" s="5"/>
      <c r="F51" s="5"/>
      <c r="G51" s="5"/>
      <c r="H51" s="5"/>
      <c r="I51" s="7"/>
      <c r="J51" s="7"/>
      <c r="K51" s="8"/>
      <c r="L51" s="8" t="str">
        <f t="shared" si="4"/>
        <v/>
      </c>
      <c r="M51" s="8" t="str">
        <f t="shared" si="5"/>
        <v/>
      </c>
      <c r="N51" s="5"/>
      <c r="O51" s="5"/>
      <c r="P51" s="5"/>
      <c r="Q51" s="6"/>
    </row>
    <row r="52" spans="1:17" x14ac:dyDescent="0.45">
      <c r="A52" s="5"/>
      <c r="B52" s="6"/>
      <c r="C52" s="6"/>
      <c r="D52" s="5"/>
      <c r="E52" s="5"/>
      <c r="F52" s="5"/>
      <c r="G52" s="5"/>
      <c r="H52" s="5"/>
      <c r="I52" s="7"/>
      <c r="J52" s="7"/>
      <c r="K52" s="8"/>
      <c r="L52" s="8" t="str">
        <f t="shared" si="4"/>
        <v/>
      </c>
      <c r="M52" s="8" t="str">
        <f t="shared" si="5"/>
        <v/>
      </c>
      <c r="N52" s="5"/>
      <c r="O52" s="5"/>
      <c r="P52" s="5"/>
      <c r="Q52" s="6"/>
    </row>
    <row r="53" spans="1:17" x14ac:dyDescent="0.45">
      <c r="A53" s="5"/>
      <c r="B53" s="6"/>
      <c r="C53" s="6"/>
      <c r="D53" s="5"/>
      <c r="E53" s="5"/>
      <c r="F53" s="5"/>
      <c r="G53" s="5"/>
      <c r="H53" s="5"/>
      <c r="I53" s="7"/>
      <c r="J53" s="7"/>
      <c r="K53" s="8"/>
      <c r="L53" s="8" t="str">
        <f t="shared" si="4"/>
        <v/>
      </c>
      <c r="M53" s="8" t="str">
        <f t="shared" si="5"/>
        <v/>
      </c>
      <c r="N53" s="5"/>
      <c r="O53" s="5"/>
      <c r="P53" s="5"/>
      <c r="Q53" s="6"/>
    </row>
    <row r="54" spans="1:17" x14ac:dyDescent="0.45">
      <c r="A54" s="5"/>
      <c r="B54" s="6"/>
      <c r="C54" s="6"/>
      <c r="D54" s="5"/>
      <c r="E54" s="5"/>
      <c r="F54" s="5"/>
      <c r="G54" s="5"/>
      <c r="H54" s="5"/>
      <c r="I54" s="7"/>
      <c r="J54" s="7"/>
      <c r="K54" s="8"/>
      <c r="L54" s="8" t="str">
        <f t="shared" si="4"/>
        <v/>
      </c>
      <c r="M54" s="8" t="str">
        <f t="shared" si="5"/>
        <v/>
      </c>
      <c r="N54" s="5"/>
      <c r="O54" s="5"/>
      <c r="P54" s="5"/>
      <c r="Q54" s="6"/>
    </row>
    <row r="55" spans="1:17" x14ac:dyDescent="0.45">
      <c r="A55" s="5"/>
      <c r="B55" s="6"/>
      <c r="C55" s="6"/>
      <c r="D55" s="5"/>
      <c r="E55" s="5"/>
      <c r="F55" s="5"/>
      <c r="G55" s="5"/>
      <c r="H55" s="5"/>
      <c r="I55" s="7"/>
      <c r="J55" s="7"/>
      <c r="K55" s="8"/>
      <c r="L55" s="8" t="str">
        <f t="shared" si="4"/>
        <v/>
      </c>
      <c r="M55" s="8" t="str">
        <f t="shared" si="5"/>
        <v/>
      </c>
      <c r="N55" s="5"/>
      <c r="O55" s="5"/>
      <c r="P55" s="5"/>
      <c r="Q55" s="6"/>
    </row>
    <row r="56" spans="1:17" x14ac:dyDescent="0.45">
      <c r="A56" s="5"/>
      <c r="B56" s="6"/>
      <c r="C56" s="6"/>
      <c r="D56" s="5"/>
      <c r="E56" s="5"/>
      <c r="F56" s="5"/>
      <c r="G56" s="5"/>
      <c r="H56" s="5"/>
      <c r="I56" s="7"/>
      <c r="J56" s="7"/>
      <c r="K56" s="8"/>
      <c r="L56" s="8" t="str">
        <f t="shared" si="4"/>
        <v/>
      </c>
      <c r="M56" s="8" t="str">
        <f t="shared" si="5"/>
        <v/>
      </c>
      <c r="N56" s="5"/>
      <c r="O56" s="5"/>
      <c r="P56" s="5"/>
      <c r="Q56" s="6"/>
    </row>
    <row r="57" spans="1:17" x14ac:dyDescent="0.45">
      <c r="A57" s="5"/>
      <c r="B57" s="6"/>
      <c r="C57" s="6"/>
      <c r="D57" s="5"/>
      <c r="E57" s="5"/>
      <c r="F57" s="5"/>
      <c r="G57" s="5"/>
      <c r="H57" s="5"/>
      <c r="I57" s="7"/>
      <c r="J57" s="7"/>
      <c r="K57" s="8"/>
      <c r="L57" s="8" t="str">
        <f t="shared" si="4"/>
        <v/>
      </c>
      <c r="M57" s="8" t="str">
        <f t="shared" si="5"/>
        <v/>
      </c>
      <c r="N57" s="5"/>
      <c r="O57" s="5"/>
      <c r="P57" s="5"/>
      <c r="Q57" s="6"/>
    </row>
    <row r="58" spans="1:17" x14ac:dyDescent="0.45">
      <c r="A58" s="5"/>
      <c r="B58" s="6"/>
      <c r="C58" s="6"/>
      <c r="D58" s="5"/>
      <c r="E58" s="5"/>
      <c r="F58" s="5"/>
      <c r="G58" s="5"/>
      <c r="H58" s="5"/>
      <c r="I58" s="7"/>
      <c r="J58" s="7"/>
      <c r="K58" s="8"/>
      <c r="L58" s="8" t="str">
        <f t="shared" si="4"/>
        <v/>
      </c>
      <c r="M58" s="8" t="str">
        <f t="shared" si="5"/>
        <v/>
      </c>
      <c r="N58" s="5"/>
      <c r="O58" s="5"/>
      <c r="P58" s="5"/>
      <c r="Q58" s="6"/>
    </row>
    <row r="59" spans="1:17" x14ac:dyDescent="0.45">
      <c r="A59" s="5"/>
      <c r="B59" s="6"/>
      <c r="C59" s="6"/>
      <c r="D59" s="5"/>
      <c r="E59" s="5"/>
      <c r="F59" s="5"/>
      <c r="G59" s="5"/>
      <c r="H59" s="5"/>
      <c r="I59" s="7"/>
      <c r="J59" s="7"/>
      <c r="K59" s="8"/>
      <c r="L59" s="8" t="str">
        <f t="shared" si="4"/>
        <v/>
      </c>
      <c r="M59" s="8" t="str">
        <f t="shared" si="5"/>
        <v/>
      </c>
      <c r="N59" s="5"/>
      <c r="O59" s="5"/>
      <c r="P59" s="5"/>
      <c r="Q59" s="6"/>
    </row>
    <row r="60" spans="1:17" x14ac:dyDescent="0.45">
      <c r="A60" s="5"/>
      <c r="B60" s="6"/>
      <c r="C60" s="6"/>
      <c r="D60" s="5"/>
      <c r="E60" s="5"/>
      <c r="F60" s="5"/>
      <c r="G60" s="5"/>
      <c r="H60" s="5"/>
      <c r="I60" s="7"/>
      <c r="J60" s="7"/>
      <c r="K60" s="8"/>
      <c r="L60" s="8" t="str">
        <f t="shared" si="4"/>
        <v/>
      </c>
      <c r="M60" s="8" t="str">
        <f t="shared" si="5"/>
        <v/>
      </c>
      <c r="N60" s="5"/>
      <c r="O60" s="5"/>
      <c r="P60" s="5"/>
      <c r="Q60" s="6"/>
    </row>
    <row r="61" spans="1:17" x14ac:dyDescent="0.45">
      <c r="A61" s="5"/>
      <c r="B61" s="6"/>
      <c r="C61" s="6"/>
      <c r="D61" s="5"/>
      <c r="E61" s="5"/>
      <c r="F61" s="5"/>
      <c r="G61" s="5"/>
      <c r="H61" s="5"/>
      <c r="I61" s="7"/>
      <c r="J61" s="7"/>
      <c r="K61" s="8"/>
      <c r="L61" s="8" t="str">
        <f t="shared" si="4"/>
        <v/>
      </c>
      <c r="M61" s="8" t="str">
        <f t="shared" si="5"/>
        <v/>
      </c>
      <c r="N61" s="5"/>
      <c r="O61" s="5"/>
      <c r="P61" s="5"/>
      <c r="Q61" s="6"/>
    </row>
    <row r="62" spans="1:17" x14ac:dyDescent="0.45">
      <c r="A62" s="5"/>
      <c r="B62" s="6"/>
      <c r="C62" s="6"/>
      <c r="D62" s="5"/>
      <c r="E62" s="5"/>
      <c r="F62" s="5"/>
      <c r="G62" s="5"/>
      <c r="H62" s="5"/>
      <c r="I62" s="7"/>
      <c r="J62" s="7"/>
      <c r="K62" s="8"/>
      <c r="L62" s="8" t="str">
        <f t="shared" si="4"/>
        <v/>
      </c>
      <c r="M62" s="8" t="str">
        <f t="shared" si="5"/>
        <v/>
      </c>
      <c r="N62" s="5"/>
      <c r="O62" s="5"/>
      <c r="P62" s="5"/>
      <c r="Q62" s="6"/>
    </row>
    <row r="63" spans="1:17" x14ac:dyDescent="0.45">
      <c r="A63" s="5"/>
      <c r="B63" s="6"/>
      <c r="C63" s="6"/>
      <c r="D63" s="5"/>
      <c r="E63" s="5"/>
      <c r="F63" s="5"/>
      <c r="G63" s="5"/>
      <c r="H63" s="5"/>
      <c r="I63" s="7"/>
      <c r="J63" s="7"/>
      <c r="K63" s="8"/>
      <c r="L63" s="8" t="str">
        <f t="shared" si="4"/>
        <v/>
      </c>
      <c r="M63" s="8" t="str">
        <f t="shared" si="5"/>
        <v/>
      </c>
      <c r="N63" s="5"/>
      <c r="O63" s="5"/>
      <c r="P63" s="5"/>
      <c r="Q63" s="6"/>
    </row>
    <row r="64" spans="1:17" x14ac:dyDescent="0.45">
      <c r="A64" s="5"/>
      <c r="B64" s="6"/>
      <c r="C64" s="6"/>
      <c r="D64" s="5"/>
      <c r="E64" s="5"/>
      <c r="F64" s="5"/>
      <c r="G64" s="5"/>
      <c r="H64" s="5"/>
      <c r="I64" s="7"/>
      <c r="J64" s="7"/>
      <c r="K64" s="8"/>
      <c r="L64" s="8" t="str">
        <f t="shared" si="4"/>
        <v/>
      </c>
      <c r="M64" s="8" t="str">
        <f t="shared" si="5"/>
        <v/>
      </c>
      <c r="N64" s="5"/>
      <c r="O64" s="5"/>
      <c r="P64" s="5"/>
      <c r="Q64" s="6"/>
    </row>
    <row r="65" spans="1:17" x14ac:dyDescent="0.45">
      <c r="A65" s="5"/>
      <c r="B65" s="6"/>
      <c r="C65" s="6"/>
      <c r="D65" s="5"/>
      <c r="E65" s="5"/>
      <c r="F65" s="5"/>
      <c r="G65" s="5"/>
      <c r="H65" s="5"/>
      <c r="I65" s="7"/>
      <c r="J65" s="7"/>
      <c r="K65" s="8"/>
      <c r="L65" s="8" t="str">
        <f t="shared" si="4"/>
        <v/>
      </c>
      <c r="M65" s="8" t="str">
        <f t="shared" si="5"/>
        <v/>
      </c>
      <c r="N65" s="5"/>
      <c r="O65" s="5"/>
      <c r="P65" s="5"/>
      <c r="Q65" s="6"/>
    </row>
    <row r="66" spans="1:17" x14ac:dyDescent="0.45">
      <c r="A66" s="5"/>
      <c r="B66" s="6"/>
      <c r="C66" s="6"/>
      <c r="D66" s="5"/>
      <c r="E66" s="5"/>
      <c r="F66" s="5"/>
      <c r="G66" s="5"/>
      <c r="H66" s="5"/>
      <c r="I66" s="7"/>
      <c r="J66" s="7"/>
      <c r="K66" s="8"/>
      <c r="L66" s="8" t="str">
        <f t="shared" si="4"/>
        <v/>
      </c>
      <c r="M66" s="8" t="str">
        <f t="shared" si="5"/>
        <v/>
      </c>
      <c r="N66" s="5"/>
      <c r="O66" s="5"/>
      <c r="P66" s="5"/>
      <c r="Q66" s="6"/>
    </row>
    <row r="67" spans="1:17" x14ac:dyDescent="0.45">
      <c r="A67" s="5"/>
      <c r="B67" s="6"/>
      <c r="C67" s="6"/>
      <c r="D67" s="5"/>
      <c r="E67" s="5"/>
      <c r="F67" s="5"/>
      <c r="G67" s="5"/>
      <c r="H67" s="5"/>
      <c r="I67" s="7"/>
      <c r="J67" s="7"/>
      <c r="K67" s="8"/>
      <c r="L67" s="8" t="str">
        <f t="shared" si="4"/>
        <v/>
      </c>
      <c r="M67" s="8" t="str">
        <f t="shared" si="5"/>
        <v/>
      </c>
      <c r="N67" s="5"/>
      <c r="O67" s="5"/>
      <c r="P67" s="5"/>
      <c r="Q67" s="6"/>
    </row>
    <row r="68" spans="1:17" x14ac:dyDescent="0.45">
      <c r="A68" s="5"/>
      <c r="B68" s="6"/>
      <c r="C68" s="6"/>
      <c r="D68" s="5"/>
      <c r="E68" s="5"/>
      <c r="F68" s="5"/>
      <c r="G68" s="5"/>
      <c r="H68" s="5"/>
      <c r="I68" s="7"/>
      <c r="J68" s="7"/>
      <c r="K68" s="8"/>
      <c r="L68" s="8" t="str">
        <f t="shared" si="4"/>
        <v/>
      </c>
      <c r="M68" s="8" t="str">
        <f t="shared" si="5"/>
        <v/>
      </c>
      <c r="N68" s="5"/>
      <c r="O68" s="5"/>
      <c r="P68" s="5"/>
      <c r="Q68" s="6"/>
    </row>
    <row r="69" spans="1:17" x14ac:dyDescent="0.45">
      <c r="A69" s="5"/>
      <c r="B69" s="6"/>
      <c r="C69" s="6"/>
      <c r="D69" s="5"/>
      <c r="E69" s="5"/>
      <c r="F69" s="5"/>
      <c r="G69" s="5"/>
      <c r="H69" s="5"/>
      <c r="I69" s="7"/>
      <c r="J69" s="7"/>
      <c r="K69" s="8"/>
      <c r="L69" s="8" t="str">
        <f t="shared" si="4"/>
        <v/>
      </c>
      <c r="M69" s="8" t="str">
        <f t="shared" si="5"/>
        <v/>
      </c>
      <c r="N69" s="5"/>
      <c r="O69" s="5"/>
      <c r="P69" s="5"/>
      <c r="Q69" s="6"/>
    </row>
    <row r="70" spans="1:17" x14ac:dyDescent="0.45">
      <c r="A70" s="5"/>
      <c r="B70" s="6"/>
      <c r="C70" s="6"/>
      <c r="D70" s="5"/>
      <c r="E70" s="5"/>
      <c r="F70" s="5"/>
      <c r="G70" s="5"/>
      <c r="H70" s="5"/>
      <c r="I70" s="7"/>
      <c r="J70" s="7"/>
      <c r="K70" s="8"/>
      <c r="L70" s="8" t="str">
        <f t="shared" si="4"/>
        <v/>
      </c>
      <c r="M70" s="8" t="str">
        <f t="shared" si="5"/>
        <v/>
      </c>
      <c r="N70" s="5"/>
      <c r="O70" s="5"/>
      <c r="P70" s="5"/>
      <c r="Q70" s="6"/>
    </row>
    <row r="71" spans="1:17" x14ac:dyDescent="0.45">
      <c r="A71" s="5"/>
      <c r="B71" s="6"/>
      <c r="C71" s="6"/>
      <c r="D71" s="5"/>
      <c r="E71" s="5"/>
      <c r="F71" s="5"/>
      <c r="G71" s="5"/>
      <c r="H71" s="5"/>
      <c r="I71" s="7"/>
      <c r="J71" s="7"/>
      <c r="K71" s="8"/>
      <c r="L71" s="8" t="str">
        <f t="shared" si="4"/>
        <v/>
      </c>
      <c r="M71" s="8" t="str">
        <f t="shared" si="5"/>
        <v/>
      </c>
      <c r="N71" s="5"/>
      <c r="O71" s="5"/>
      <c r="P71" s="5"/>
      <c r="Q71" s="6"/>
    </row>
    <row r="72" spans="1:17" x14ac:dyDescent="0.45">
      <c r="A72" s="5"/>
      <c r="B72" s="6"/>
      <c r="C72" s="6"/>
      <c r="D72" s="5"/>
      <c r="E72" s="5"/>
      <c r="F72" s="5"/>
      <c r="G72" s="5"/>
      <c r="H72" s="5"/>
      <c r="I72" s="7"/>
      <c r="J72" s="7"/>
      <c r="K72" s="8"/>
      <c r="L72" s="8" t="str">
        <f t="shared" si="4"/>
        <v/>
      </c>
      <c r="M72" s="8" t="str">
        <f t="shared" si="5"/>
        <v/>
      </c>
      <c r="N72" s="5"/>
      <c r="O72" s="5"/>
      <c r="P72" s="5"/>
      <c r="Q72" s="6"/>
    </row>
    <row r="73" spans="1:17" x14ac:dyDescent="0.45">
      <c r="A73" s="5"/>
      <c r="B73" s="6"/>
      <c r="C73" s="6"/>
      <c r="D73" s="5"/>
      <c r="E73" s="5"/>
      <c r="F73" s="5"/>
      <c r="G73" s="5"/>
      <c r="H73" s="5"/>
      <c r="I73" s="7"/>
      <c r="J73" s="7"/>
      <c r="K73" s="8"/>
      <c r="L73" s="8" t="str">
        <f t="shared" si="4"/>
        <v/>
      </c>
      <c r="M73" s="8" t="str">
        <f t="shared" si="5"/>
        <v/>
      </c>
      <c r="N73" s="5"/>
      <c r="O73" s="5"/>
      <c r="P73" s="5"/>
      <c r="Q73" s="6"/>
    </row>
    <row r="74" spans="1:17" x14ac:dyDescent="0.45">
      <c r="A74" s="5"/>
      <c r="B74" s="6"/>
      <c r="C74" s="6"/>
      <c r="D74" s="5"/>
      <c r="E74" s="5"/>
      <c r="F74" s="5"/>
      <c r="G74" s="5"/>
      <c r="H74" s="5"/>
      <c r="I74" s="7"/>
      <c r="J74" s="7"/>
      <c r="K74" s="8"/>
      <c r="L74" s="8" t="str">
        <f t="shared" si="4"/>
        <v/>
      </c>
      <c r="M74" s="8" t="str">
        <f t="shared" si="5"/>
        <v/>
      </c>
      <c r="N74" s="5"/>
      <c r="O74" s="5"/>
      <c r="P74" s="5"/>
      <c r="Q74" s="6"/>
    </row>
    <row r="75" spans="1:17" x14ac:dyDescent="0.45">
      <c r="A75" s="5"/>
      <c r="B75" s="6"/>
      <c r="C75" s="6"/>
      <c r="D75" s="5"/>
      <c r="E75" s="5"/>
      <c r="F75" s="5"/>
      <c r="G75" s="5"/>
      <c r="H75" s="5"/>
      <c r="I75" s="7"/>
      <c r="J75" s="7"/>
      <c r="K75" s="8"/>
      <c r="L75" s="8" t="str">
        <f t="shared" si="4"/>
        <v/>
      </c>
      <c r="M75" s="8" t="str">
        <f t="shared" si="5"/>
        <v/>
      </c>
      <c r="N75" s="5"/>
      <c r="O75" s="5"/>
      <c r="P75" s="5"/>
      <c r="Q75" s="6"/>
    </row>
    <row r="76" spans="1:17" x14ac:dyDescent="0.45">
      <c r="A76" s="5"/>
      <c r="B76" s="6"/>
      <c r="C76" s="6"/>
      <c r="D76" s="5"/>
      <c r="E76" s="5"/>
      <c r="F76" s="5"/>
      <c r="G76" s="5"/>
      <c r="H76" s="5"/>
      <c r="I76" s="7"/>
      <c r="J76" s="7"/>
      <c r="K76" s="8"/>
      <c r="L76" s="8" t="str">
        <f t="shared" si="4"/>
        <v/>
      </c>
      <c r="M76" s="8" t="str">
        <f t="shared" si="5"/>
        <v/>
      </c>
      <c r="N76" s="5"/>
      <c r="O76" s="5"/>
      <c r="P76" s="5"/>
      <c r="Q76" s="6"/>
    </row>
    <row r="77" spans="1:17" x14ac:dyDescent="0.45">
      <c r="A77" s="5"/>
      <c r="B77" s="6"/>
      <c r="C77" s="6"/>
      <c r="D77" s="5"/>
      <c r="E77" s="5"/>
      <c r="F77" s="5"/>
      <c r="G77" s="5"/>
      <c r="H77" s="5"/>
      <c r="I77" s="7"/>
      <c r="J77" s="7"/>
      <c r="K77" s="8"/>
      <c r="L77" s="8" t="str">
        <f t="shared" si="4"/>
        <v/>
      </c>
      <c r="M77" s="8" t="str">
        <f t="shared" si="5"/>
        <v/>
      </c>
      <c r="N77" s="5"/>
      <c r="O77" s="5"/>
      <c r="P77" s="5"/>
      <c r="Q77" s="6"/>
    </row>
    <row r="78" spans="1:17" x14ac:dyDescent="0.45">
      <c r="A78" s="5"/>
      <c r="B78" s="6"/>
      <c r="C78" s="6"/>
      <c r="D78" s="5"/>
      <c r="E78" s="5"/>
      <c r="F78" s="5"/>
      <c r="G78" s="5"/>
      <c r="H78" s="5"/>
      <c r="I78" s="7"/>
      <c r="J78" s="7"/>
      <c r="K78" s="8"/>
      <c r="L78" s="8" t="str">
        <f t="shared" si="4"/>
        <v/>
      </c>
      <c r="M78" s="8" t="str">
        <f t="shared" si="5"/>
        <v/>
      </c>
      <c r="N78" s="5"/>
      <c r="O78" s="5"/>
      <c r="P78" s="5"/>
      <c r="Q78" s="6"/>
    </row>
    <row r="79" spans="1:17" x14ac:dyDescent="0.45">
      <c r="A79" s="5"/>
      <c r="B79" s="6"/>
      <c r="C79" s="6"/>
      <c r="D79" s="5"/>
      <c r="E79" s="5"/>
      <c r="F79" s="5"/>
      <c r="G79" s="5"/>
      <c r="H79" s="5"/>
      <c r="I79" s="7"/>
      <c r="J79" s="7"/>
      <c r="K79" s="8"/>
      <c r="L79" s="8" t="str">
        <f t="shared" ref="L79:L110" si="6">IF(AND(I79&lt;&gt;"",K79&lt;&gt;""),I79*K79,"")</f>
        <v/>
      </c>
      <c r="M79" s="8" t="str">
        <f t="shared" ref="M79:M110" si="7">IF(AND(J79&lt;&gt;"",K79&lt;&gt;""),J79*K79,"")</f>
        <v/>
      </c>
      <c r="N79" s="5"/>
      <c r="O79" s="5"/>
      <c r="P79" s="5"/>
      <c r="Q79" s="6"/>
    </row>
    <row r="80" spans="1:17" x14ac:dyDescent="0.45">
      <c r="A80" s="5"/>
      <c r="B80" s="6"/>
      <c r="C80" s="6"/>
      <c r="D80" s="5"/>
      <c r="E80" s="5"/>
      <c r="F80" s="5"/>
      <c r="G80" s="5"/>
      <c r="H80" s="5"/>
      <c r="I80" s="7"/>
      <c r="J80" s="7"/>
      <c r="K80" s="8"/>
      <c r="L80" s="8" t="str">
        <f t="shared" si="6"/>
        <v/>
      </c>
      <c r="M80" s="8" t="str">
        <f t="shared" si="7"/>
        <v/>
      </c>
      <c r="N80" s="5"/>
      <c r="O80" s="5"/>
      <c r="P80" s="5"/>
      <c r="Q80" s="6"/>
    </row>
    <row r="81" spans="1:17" x14ac:dyDescent="0.45">
      <c r="A81" s="5"/>
      <c r="B81" s="6"/>
      <c r="C81" s="6"/>
      <c r="D81" s="5"/>
      <c r="E81" s="5"/>
      <c r="F81" s="5"/>
      <c r="G81" s="5"/>
      <c r="H81" s="5"/>
      <c r="I81" s="7"/>
      <c r="J81" s="7"/>
      <c r="K81" s="8"/>
      <c r="L81" s="8" t="str">
        <f t="shared" si="6"/>
        <v/>
      </c>
      <c r="M81" s="8" t="str">
        <f t="shared" si="7"/>
        <v/>
      </c>
      <c r="N81" s="5"/>
      <c r="O81" s="5"/>
      <c r="P81" s="5"/>
      <c r="Q81" s="6"/>
    </row>
    <row r="82" spans="1:17" x14ac:dyDescent="0.45">
      <c r="A82" s="5"/>
      <c r="B82" s="6"/>
      <c r="C82" s="6"/>
      <c r="D82" s="5"/>
      <c r="E82" s="5"/>
      <c r="F82" s="5"/>
      <c r="G82" s="5"/>
      <c r="H82" s="5"/>
      <c r="I82" s="7"/>
      <c r="J82" s="7"/>
      <c r="K82" s="8"/>
      <c r="L82" s="8" t="str">
        <f t="shared" si="6"/>
        <v/>
      </c>
      <c r="M82" s="8" t="str">
        <f t="shared" si="7"/>
        <v/>
      </c>
      <c r="N82" s="5"/>
      <c r="O82" s="5"/>
      <c r="P82" s="5"/>
      <c r="Q82" s="6"/>
    </row>
    <row r="83" spans="1:17" x14ac:dyDescent="0.45">
      <c r="A83" s="5"/>
      <c r="B83" s="6"/>
      <c r="C83" s="6"/>
      <c r="D83" s="5"/>
      <c r="E83" s="5"/>
      <c r="F83" s="5"/>
      <c r="G83" s="5"/>
      <c r="H83" s="5"/>
      <c r="I83" s="7"/>
      <c r="J83" s="7"/>
      <c r="K83" s="8"/>
      <c r="L83" s="8" t="str">
        <f t="shared" si="6"/>
        <v/>
      </c>
      <c r="M83" s="8" t="str">
        <f t="shared" si="7"/>
        <v/>
      </c>
      <c r="N83" s="5"/>
      <c r="O83" s="5"/>
      <c r="P83" s="5"/>
      <c r="Q83" s="6"/>
    </row>
    <row r="84" spans="1:17" x14ac:dyDescent="0.45">
      <c r="A84" s="5"/>
      <c r="B84" s="6"/>
      <c r="C84" s="6"/>
      <c r="D84" s="5"/>
      <c r="E84" s="5"/>
      <c r="F84" s="5"/>
      <c r="G84" s="5"/>
      <c r="H84" s="5"/>
      <c r="I84" s="7"/>
      <c r="J84" s="7"/>
      <c r="K84" s="8"/>
      <c r="L84" s="8" t="str">
        <f t="shared" si="6"/>
        <v/>
      </c>
      <c r="M84" s="8" t="str">
        <f t="shared" si="7"/>
        <v/>
      </c>
      <c r="N84" s="5"/>
      <c r="O84" s="5"/>
      <c r="P84" s="5"/>
      <c r="Q84" s="6"/>
    </row>
    <row r="85" spans="1:17" x14ac:dyDescent="0.45">
      <c r="A85" s="5"/>
      <c r="B85" s="6"/>
      <c r="C85" s="6"/>
      <c r="D85" s="5"/>
      <c r="E85" s="5"/>
      <c r="F85" s="5"/>
      <c r="G85" s="5"/>
      <c r="H85" s="5"/>
      <c r="I85" s="7"/>
      <c r="J85" s="7"/>
      <c r="K85" s="8"/>
      <c r="L85" s="8" t="str">
        <f t="shared" si="6"/>
        <v/>
      </c>
      <c r="M85" s="8" t="str">
        <f t="shared" si="7"/>
        <v/>
      </c>
      <c r="N85" s="5"/>
      <c r="O85" s="5"/>
      <c r="P85" s="5"/>
      <c r="Q85" s="6"/>
    </row>
    <row r="86" spans="1:17" x14ac:dyDescent="0.45">
      <c r="A86" s="5"/>
      <c r="B86" s="6"/>
      <c r="C86" s="6"/>
      <c r="D86" s="5"/>
      <c r="E86" s="5"/>
      <c r="F86" s="5"/>
      <c r="G86" s="5"/>
      <c r="H86" s="5"/>
      <c r="I86" s="7"/>
      <c r="J86" s="7"/>
      <c r="K86" s="8"/>
      <c r="L86" s="8" t="str">
        <f t="shared" si="6"/>
        <v/>
      </c>
      <c r="M86" s="8" t="str">
        <f t="shared" si="7"/>
        <v/>
      </c>
      <c r="N86" s="5"/>
      <c r="O86" s="5"/>
      <c r="P86" s="5"/>
      <c r="Q86" s="6"/>
    </row>
    <row r="87" spans="1:17" x14ac:dyDescent="0.45">
      <c r="A87" s="5"/>
      <c r="B87" s="6"/>
      <c r="C87" s="6"/>
      <c r="D87" s="5"/>
      <c r="E87" s="5"/>
      <c r="F87" s="5"/>
      <c r="G87" s="5"/>
      <c r="H87" s="5"/>
      <c r="I87" s="7"/>
      <c r="J87" s="7"/>
      <c r="K87" s="8"/>
      <c r="L87" s="8" t="str">
        <f t="shared" si="6"/>
        <v/>
      </c>
      <c r="M87" s="8" t="str">
        <f t="shared" si="7"/>
        <v/>
      </c>
      <c r="N87" s="5"/>
      <c r="O87" s="5"/>
      <c r="P87" s="5"/>
      <c r="Q87" s="6"/>
    </row>
    <row r="88" spans="1:17" x14ac:dyDescent="0.45">
      <c r="A88" s="5"/>
      <c r="B88" s="6"/>
      <c r="C88" s="6"/>
      <c r="D88" s="5"/>
      <c r="E88" s="5"/>
      <c r="F88" s="5"/>
      <c r="G88" s="5"/>
      <c r="H88" s="5"/>
      <c r="I88" s="7"/>
      <c r="J88" s="7"/>
      <c r="K88" s="8"/>
      <c r="L88" s="8" t="str">
        <f t="shared" si="6"/>
        <v/>
      </c>
      <c r="M88" s="8" t="str">
        <f t="shared" si="7"/>
        <v/>
      </c>
      <c r="N88" s="5"/>
      <c r="O88" s="5"/>
      <c r="P88" s="5"/>
      <c r="Q88" s="6"/>
    </row>
    <row r="89" spans="1:17" x14ac:dyDescent="0.45">
      <c r="A89" s="5"/>
      <c r="B89" s="6"/>
      <c r="C89" s="6"/>
      <c r="D89" s="5"/>
      <c r="E89" s="5"/>
      <c r="F89" s="5"/>
      <c r="G89" s="5"/>
      <c r="H89" s="5"/>
      <c r="I89" s="7"/>
      <c r="J89" s="7"/>
      <c r="K89" s="8"/>
      <c r="L89" s="8" t="str">
        <f t="shared" si="6"/>
        <v/>
      </c>
      <c r="M89" s="8" t="str">
        <f t="shared" si="7"/>
        <v/>
      </c>
      <c r="N89" s="5"/>
      <c r="O89" s="5"/>
      <c r="P89" s="5"/>
      <c r="Q89" s="6"/>
    </row>
    <row r="90" spans="1:17" x14ac:dyDescent="0.45">
      <c r="A90" s="5"/>
      <c r="B90" s="6"/>
      <c r="C90" s="6"/>
      <c r="D90" s="5"/>
      <c r="E90" s="5"/>
      <c r="F90" s="5"/>
      <c r="G90" s="5"/>
      <c r="H90" s="5"/>
      <c r="I90" s="7"/>
      <c r="J90" s="7"/>
      <c r="K90" s="8"/>
      <c r="L90" s="8" t="str">
        <f t="shared" si="6"/>
        <v/>
      </c>
      <c r="M90" s="8" t="str">
        <f t="shared" si="7"/>
        <v/>
      </c>
      <c r="N90" s="5"/>
      <c r="O90" s="5"/>
      <c r="P90" s="5"/>
      <c r="Q90" s="6"/>
    </row>
    <row r="91" spans="1:17" x14ac:dyDescent="0.45">
      <c r="A91" s="5"/>
      <c r="B91" s="6"/>
      <c r="C91" s="6"/>
      <c r="D91" s="5"/>
      <c r="E91" s="5"/>
      <c r="F91" s="5"/>
      <c r="G91" s="5"/>
      <c r="H91" s="5"/>
      <c r="I91" s="7"/>
      <c r="J91" s="7"/>
      <c r="K91" s="8"/>
      <c r="L91" s="8" t="str">
        <f t="shared" si="6"/>
        <v/>
      </c>
      <c r="M91" s="8" t="str">
        <f t="shared" si="7"/>
        <v/>
      </c>
      <c r="N91" s="5"/>
      <c r="O91" s="5"/>
      <c r="P91" s="5"/>
      <c r="Q91" s="6"/>
    </row>
    <row r="92" spans="1:17" x14ac:dyDescent="0.45">
      <c r="A92" s="5"/>
      <c r="B92" s="6"/>
      <c r="C92" s="6"/>
      <c r="D92" s="5"/>
      <c r="E92" s="5"/>
      <c r="F92" s="5"/>
      <c r="G92" s="5"/>
      <c r="H92" s="5"/>
      <c r="I92" s="7"/>
      <c r="J92" s="7"/>
      <c r="K92" s="8"/>
      <c r="L92" s="8" t="str">
        <f t="shared" si="6"/>
        <v/>
      </c>
      <c r="M92" s="8" t="str">
        <f t="shared" si="7"/>
        <v/>
      </c>
      <c r="N92" s="5"/>
      <c r="O92" s="5"/>
      <c r="P92" s="5"/>
      <c r="Q92" s="6"/>
    </row>
    <row r="93" spans="1:17" x14ac:dyDescent="0.45">
      <c r="A93" s="5"/>
      <c r="B93" s="6"/>
      <c r="C93" s="6"/>
      <c r="D93" s="5"/>
      <c r="E93" s="5"/>
      <c r="F93" s="5"/>
      <c r="G93" s="5"/>
      <c r="H93" s="5"/>
      <c r="I93" s="7"/>
      <c r="J93" s="7"/>
      <c r="K93" s="8"/>
      <c r="L93" s="8" t="str">
        <f t="shared" si="6"/>
        <v/>
      </c>
      <c r="M93" s="8" t="str">
        <f t="shared" si="7"/>
        <v/>
      </c>
      <c r="N93" s="5"/>
      <c r="O93" s="5"/>
      <c r="P93" s="5"/>
      <c r="Q93" s="6"/>
    </row>
    <row r="94" spans="1:17" x14ac:dyDescent="0.45">
      <c r="A94" s="5"/>
      <c r="B94" s="6"/>
      <c r="C94" s="6"/>
      <c r="D94" s="5"/>
      <c r="E94" s="5"/>
      <c r="F94" s="5"/>
      <c r="G94" s="5"/>
      <c r="H94" s="5"/>
      <c r="I94" s="7"/>
      <c r="J94" s="7"/>
      <c r="K94" s="8"/>
      <c r="L94" s="8" t="str">
        <f t="shared" si="6"/>
        <v/>
      </c>
      <c r="M94" s="8" t="str">
        <f t="shared" si="7"/>
        <v/>
      </c>
      <c r="N94" s="5"/>
      <c r="O94" s="5"/>
      <c r="P94" s="5"/>
      <c r="Q94" s="6"/>
    </row>
    <row r="95" spans="1:17" x14ac:dyDescent="0.45">
      <c r="A95" s="5"/>
      <c r="B95" s="6"/>
      <c r="C95" s="6"/>
      <c r="D95" s="5"/>
      <c r="E95" s="5"/>
      <c r="F95" s="5"/>
      <c r="G95" s="5"/>
      <c r="H95" s="5"/>
      <c r="I95" s="7"/>
      <c r="J95" s="7"/>
      <c r="K95" s="8"/>
      <c r="L95" s="8" t="str">
        <f t="shared" si="6"/>
        <v/>
      </c>
      <c r="M95" s="8" t="str">
        <f t="shared" si="7"/>
        <v/>
      </c>
      <c r="N95" s="5"/>
      <c r="O95" s="5"/>
      <c r="P95" s="5"/>
      <c r="Q95" s="6"/>
    </row>
    <row r="96" spans="1:17" x14ac:dyDescent="0.45">
      <c r="A96" s="5"/>
      <c r="B96" s="6"/>
      <c r="C96" s="6"/>
      <c r="D96" s="5"/>
      <c r="E96" s="5"/>
      <c r="F96" s="5"/>
      <c r="G96" s="5"/>
      <c r="H96" s="5"/>
      <c r="I96" s="7"/>
      <c r="J96" s="7"/>
      <c r="K96" s="8"/>
      <c r="L96" s="8" t="str">
        <f t="shared" si="6"/>
        <v/>
      </c>
      <c r="M96" s="8" t="str">
        <f t="shared" si="7"/>
        <v/>
      </c>
      <c r="N96" s="5"/>
      <c r="O96" s="5"/>
      <c r="P96" s="5"/>
      <c r="Q96" s="6"/>
    </row>
    <row r="97" spans="1:17" x14ac:dyDescent="0.45">
      <c r="A97" s="5"/>
      <c r="B97" s="6"/>
      <c r="C97" s="6"/>
      <c r="D97" s="5"/>
      <c r="E97" s="5"/>
      <c r="F97" s="5"/>
      <c r="G97" s="5"/>
      <c r="H97" s="5"/>
      <c r="I97" s="7"/>
      <c r="J97" s="7"/>
      <c r="K97" s="8"/>
      <c r="L97" s="8" t="str">
        <f t="shared" si="6"/>
        <v/>
      </c>
      <c r="M97" s="8" t="str">
        <f t="shared" si="7"/>
        <v/>
      </c>
      <c r="N97" s="5"/>
      <c r="O97" s="5"/>
      <c r="P97" s="5"/>
      <c r="Q97" s="6"/>
    </row>
    <row r="98" spans="1:17" x14ac:dyDescent="0.45">
      <c r="A98" s="5"/>
      <c r="B98" s="6"/>
      <c r="C98" s="6"/>
      <c r="D98" s="5"/>
      <c r="E98" s="5"/>
      <c r="F98" s="5"/>
      <c r="G98" s="5"/>
      <c r="H98" s="5"/>
      <c r="I98" s="7"/>
      <c r="J98" s="7"/>
      <c r="K98" s="8"/>
      <c r="L98" s="8" t="str">
        <f t="shared" si="6"/>
        <v/>
      </c>
      <c r="M98" s="8" t="str">
        <f t="shared" si="7"/>
        <v/>
      </c>
      <c r="N98" s="5"/>
      <c r="O98" s="5"/>
      <c r="P98" s="5"/>
      <c r="Q98" s="6"/>
    </row>
    <row r="99" spans="1:17" x14ac:dyDescent="0.45">
      <c r="A99" s="5"/>
      <c r="B99" s="6"/>
      <c r="C99" s="6"/>
      <c r="D99" s="5"/>
      <c r="E99" s="5"/>
      <c r="F99" s="5"/>
      <c r="G99" s="5"/>
      <c r="H99" s="5"/>
      <c r="I99" s="7"/>
      <c r="J99" s="7"/>
      <c r="K99" s="8"/>
      <c r="L99" s="8" t="str">
        <f t="shared" si="6"/>
        <v/>
      </c>
      <c r="M99" s="8" t="str">
        <f t="shared" si="7"/>
        <v/>
      </c>
      <c r="N99" s="5"/>
      <c r="O99" s="5"/>
      <c r="P99" s="5"/>
      <c r="Q99" s="6"/>
    </row>
    <row r="100" spans="1:17" x14ac:dyDescent="0.45">
      <c r="A100" s="5"/>
      <c r="B100" s="6"/>
      <c r="C100" s="6"/>
      <c r="D100" s="5"/>
      <c r="E100" s="5"/>
      <c r="F100" s="5"/>
      <c r="G100" s="5"/>
      <c r="H100" s="5"/>
      <c r="I100" s="7"/>
      <c r="J100" s="7"/>
      <c r="K100" s="8"/>
      <c r="L100" s="8" t="str">
        <f t="shared" si="6"/>
        <v/>
      </c>
      <c r="M100" s="8" t="str">
        <f t="shared" si="7"/>
        <v/>
      </c>
      <c r="N100" s="5"/>
      <c r="O100" s="5"/>
      <c r="P100" s="5"/>
      <c r="Q100" s="6"/>
    </row>
    <row r="101" spans="1:17" x14ac:dyDescent="0.45">
      <c r="A101" s="5"/>
      <c r="B101" s="6"/>
      <c r="C101" s="6"/>
      <c r="D101" s="5"/>
      <c r="E101" s="5"/>
      <c r="F101" s="5"/>
      <c r="G101" s="5"/>
      <c r="H101" s="5"/>
      <c r="I101" s="7"/>
      <c r="J101" s="7"/>
      <c r="K101" s="8"/>
      <c r="L101" s="8" t="str">
        <f t="shared" si="6"/>
        <v/>
      </c>
      <c r="M101" s="8" t="str">
        <f t="shared" si="7"/>
        <v/>
      </c>
      <c r="N101" s="5"/>
      <c r="O101" s="5"/>
      <c r="P101" s="5"/>
      <c r="Q101" s="6"/>
    </row>
    <row r="102" spans="1:17" x14ac:dyDescent="0.45">
      <c r="A102" s="5"/>
      <c r="B102" s="6"/>
      <c r="C102" s="6"/>
      <c r="D102" s="5"/>
      <c r="E102" s="5"/>
      <c r="F102" s="5"/>
      <c r="G102" s="5"/>
      <c r="H102" s="5"/>
      <c r="I102" s="7"/>
      <c r="J102" s="7"/>
      <c r="K102" s="8"/>
      <c r="L102" s="8" t="str">
        <f t="shared" si="6"/>
        <v/>
      </c>
      <c r="M102" s="8" t="str">
        <f t="shared" si="7"/>
        <v/>
      </c>
      <c r="N102" s="5"/>
      <c r="O102" s="5"/>
      <c r="P102" s="5"/>
      <c r="Q102" s="6"/>
    </row>
    <row r="103" spans="1:17" x14ac:dyDescent="0.45">
      <c r="A103" s="5"/>
      <c r="B103" s="6"/>
      <c r="C103" s="6"/>
      <c r="D103" s="5"/>
      <c r="E103" s="5"/>
      <c r="F103" s="5"/>
      <c r="G103" s="5"/>
      <c r="H103" s="5"/>
      <c r="I103" s="7"/>
      <c r="J103" s="7"/>
      <c r="K103" s="8"/>
      <c r="L103" s="8" t="str">
        <f t="shared" si="6"/>
        <v/>
      </c>
      <c r="M103" s="8" t="str">
        <f t="shared" si="7"/>
        <v/>
      </c>
      <c r="N103" s="5"/>
      <c r="O103" s="5"/>
      <c r="P103" s="5"/>
      <c r="Q103" s="6"/>
    </row>
    <row r="104" spans="1:17" x14ac:dyDescent="0.45">
      <c r="A104" s="5"/>
      <c r="B104" s="6"/>
      <c r="C104" s="6"/>
      <c r="D104" s="5"/>
      <c r="E104" s="5"/>
      <c r="F104" s="5"/>
      <c r="G104" s="5"/>
      <c r="H104" s="5"/>
      <c r="I104" s="7"/>
      <c r="J104" s="7"/>
      <c r="K104" s="8"/>
      <c r="L104" s="8" t="str">
        <f t="shared" si="6"/>
        <v/>
      </c>
      <c r="M104" s="8" t="str">
        <f t="shared" si="7"/>
        <v/>
      </c>
      <c r="N104" s="5"/>
      <c r="O104" s="5"/>
      <c r="P104" s="5"/>
      <c r="Q104" s="6"/>
    </row>
    <row r="105" spans="1:17" x14ac:dyDescent="0.45">
      <c r="A105" s="5"/>
      <c r="B105" s="6"/>
      <c r="C105" s="6"/>
      <c r="D105" s="5"/>
      <c r="E105" s="5"/>
      <c r="F105" s="5"/>
      <c r="G105" s="5"/>
      <c r="H105" s="5"/>
      <c r="I105" s="7"/>
      <c r="J105" s="7"/>
      <c r="K105" s="8"/>
      <c r="L105" s="8" t="str">
        <f t="shared" si="6"/>
        <v/>
      </c>
      <c r="M105" s="8" t="str">
        <f t="shared" si="7"/>
        <v/>
      </c>
      <c r="N105" s="5"/>
      <c r="O105" s="5"/>
      <c r="P105" s="5"/>
      <c r="Q105" s="6"/>
    </row>
    <row r="106" spans="1:17" x14ac:dyDescent="0.45">
      <c r="A106" s="5"/>
      <c r="B106" s="6"/>
      <c r="C106" s="6"/>
      <c r="D106" s="5"/>
      <c r="E106" s="5"/>
      <c r="F106" s="5"/>
      <c r="G106" s="5"/>
      <c r="H106" s="5"/>
      <c r="I106" s="7"/>
      <c r="J106" s="7"/>
      <c r="K106" s="8"/>
      <c r="L106" s="8" t="str">
        <f t="shared" si="6"/>
        <v/>
      </c>
      <c r="M106" s="8" t="str">
        <f t="shared" si="7"/>
        <v/>
      </c>
      <c r="N106" s="5"/>
      <c r="O106" s="5"/>
      <c r="P106" s="5"/>
      <c r="Q106" s="6"/>
    </row>
    <row r="107" spans="1:17" x14ac:dyDescent="0.45">
      <c r="A107" s="5"/>
      <c r="B107" s="6"/>
      <c r="C107" s="6"/>
      <c r="D107" s="5"/>
      <c r="E107" s="5"/>
      <c r="F107" s="5"/>
      <c r="G107" s="5"/>
      <c r="H107" s="5"/>
      <c r="I107" s="7"/>
      <c r="J107" s="7"/>
      <c r="K107" s="8"/>
      <c r="L107" s="8" t="str">
        <f t="shared" si="6"/>
        <v/>
      </c>
      <c r="M107" s="8" t="str">
        <f t="shared" si="7"/>
        <v/>
      </c>
      <c r="N107" s="5"/>
      <c r="O107" s="5"/>
      <c r="P107" s="5"/>
      <c r="Q107" s="6"/>
    </row>
    <row r="108" spans="1:17" x14ac:dyDescent="0.45">
      <c r="A108" s="5"/>
      <c r="B108" s="6"/>
      <c r="C108" s="6"/>
      <c r="D108" s="5"/>
      <c r="E108" s="5"/>
      <c r="F108" s="5"/>
      <c r="G108" s="5"/>
      <c r="H108" s="5"/>
      <c r="I108" s="7"/>
      <c r="J108" s="7"/>
      <c r="K108" s="8"/>
      <c r="L108" s="8" t="str">
        <f t="shared" si="6"/>
        <v/>
      </c>
      <c r="M108" s="8" t="str">
        <f t="shared" si="7"/>
        <v/>
      </c>
      <c r="N108" s="5"/>
      <c r="O108" s="5"/>
      <c r="P108" s="5"/>
      <c r="Q108" s="6"/>
    </row>
    <row r="109" spans="1:17" x14ac:dyDescent="0.45">
      <c r="A109" s="5"/>
      <c r="B109" s="6"/>
      <c r="C109" s="6"/>
      <c r="D109" s="5"/>
      <c r="E109" s="5"/>
      <c r="F109" s="5"/>
      <c r="G109" s="5"/>
      <c r="H109" s="5"/>
      <c r="I109" s="7"/>
      <c r="J109" s="7"/>
      <c r="K109" s="8"/>
      <c r="L109" s="8" t="str">
        <f t="shared" si="6"/>
        <v/>
      </c>
      <c r="M109" s="8" t="str">
        <f t="shared" si="7"/>
        <v/>
      </c>
      <c r="N109" s="5"/>
      <c r="O109" s="5"/>
      <c r="P109" s="5"/>
      <c r="Q109" s="6"/>
    </row>
    <row r="110" spans="1:17" x14ac:dyDescent="0.45">
      <c r="A110" s="5"/>
      <c r="B110" s="6"/>
      <c r="C110" s="6"/>
      <c r="D110" s="5"/>
      <c r="E110" s="5"/>
      <c r="F110" s="5"/>
      <c r="G110" s="5"/>
      <c r="H110" s="5"/>
      <c r="I110" s="7"/>
      <c r="J110" s="7"/>
      <c r="K110" s="8"/>
      <c r="L110" s="8" t="str">
        <f t="shared" si="6"/>
        <v/>
      </c>
      <c r="M110" s="8" t="str">
        <f t="shared" si="7"/>
        <v/>
      </c>
      <c r="N110" s="5"/>
      <c r="O110" s="5"/>
      <c r="P110" s="5"/>
      <c r="Q110" s="6"/>
    </row>
    <row r="111" spans="1:17" x14ac:dyDescent="0.45">
      <c r="A111" s="5"/>
      <c r="B111" s="6"/>
      <c r="C111" s="6"/>
      <c r="D111" s="5"/>
      <c r="E111" s="5"/>
      <c r="F111" s="5"/>
      <c r="G111" s="5"/>
      <c r="H111" s="5"/>
      <c r="I111" s="7"/>
      <c r="J111" s="7"/>
      <c r="K111" s="8"/>
      <c r="L111" s="8" t="str">
        <f t="shared" ref="L111:L142" si="8">IF(AND(I111&lt;&gt;"",K111&lt;&gt;""),I111*K111,"")</f>
        <v/>
      </c>
      <c r="M111" s="8" t="str">
        <f t="shared" ref="M111:M142" si="9">IF(AND(J111&lt;&gt;"",K111&lt;&gt;""),J111*K111,"")</f>
        <v/>
      </c>
      <c r="N111" s="5"/>
      <c r="O111" s="5"/>
      <c r="P111" s="5"/>
      <c r="Q111" s="6"/>
    </row>
    <row r="112" spans="1:17" x14ac:dyDescent="0.45">
      <c r="A112" s="5"/>
      <c r="B112" s="6"/>
      <c r="C112" s="6"/>
      <c r="D112" s="5"/>
      <c r="E112" s="5"/>
      <c r="F112" s="5"/>
      <c r="G112" s="5"/>
      <c r="H112" s="5"/>
      <c r="I112" s="7"/>
      <c r="J112" s="7"/>
      <c r="K112" s="8"/>
      <c r="L112" s="8" t="str">
        <f t="shared" si="8"/>
        <v/>
      </c>
      <c r="M112" s="8" t="str">
        <f t="shared" si="9"/>
        <v/>
      </c>
      <c r="N112" s="5"/>
      <c r="O112" s="5"/>
      <c r="P112" s="5"/>
      <c r="Q112" s="6"/>
    </row>
    <row r="113" spans="1:17" x14ac:dyDescent="0.45">
      <c r="A113" s="5"/>
      <c r="B113" s="6"/>
      <c r="C113" s="6"/>
      <c r="D113" s="5"/>
      <c r="E113" s="5"/>
      <c r="F113" s="5"/>
      <c r="G113" s="5"/>
      <c r="H113" s="5"/>
      <c r="I113" s="7"/>
      <c r="J113" s="7"/>
      <c r="K113" s="8"/>
      <c r="L113" s="8" t="str">
        <f t="shared" si="8"/>
        <v/>
      </c>
      <c r="M113" s="8" t="str">
        <f t="shared" si="9"/>
        <v/>
      </c>
      <c r="N113" s="5"/>
      <c r="O113" s="5"/>
      <c r="P113" s="5"/>
      <c r="Q113" s="6"/>
    </row>
    <row r="114" spans="1:17" x14ac:dyDescent="0.45">
      <c r="A114" s="5"/>
      <c r="B114" s="6"/>
      <c r="C114" s="6"/>
      <c r="D114" s="5"/>
      <c r="E114" s="5"/>
      <c r="F114" s="5"/>
      <c r="G114" s="5"/>
      <c r="H114" s="5"/>
      <c r="I114" s="7"/>
      <c r="J114" s="7"/>
      <c r="K114" s="8"/>
      <c r="L114" s="8" t="str">
        <f t="shared" si="8"/>
        <v/>
      </c>
      <c r="M114" s="8" t="str">
        <f t="shared" si="9"/>
        <v/>
      </c>
      <c r="N114" s="5"/>
      <c r="O114" s="5"/>
      <c r="P114" s="5"/>
      <c r="Q114" s="6"/>
    </row>
    <row r="115" spans="1:17" x14ac:dyDescent="0.45">
      <c r="A115" s="5"/>
      <c r="B115" s="6"/>
      <c r="C115" s="6"/>
      <c r="D115" s="5"/>
      <c r="E115" s="5"/>
      <c r="F115" s="5"/>
      <c r="G115" s="5"/>
      <c r="H115" s="5"/>
      <c r="I115" s="7"/>
      <c r="J115" s="7"/>
      <c r="K115" s="8"/>
      <c r="L115" s="8" t="str">
        <f t="shared" si="8"/>
        <v/>
      </c>
      <c r="M115" s="8" t="str">
        <f t="shared" si="9"/>
        <v/>
      </c>
      <c r="N115" s="5"/>
      <c r="O115" s="5"/>
      <c r="P115" s="5"/>
      <c r="Q115" s="6"/>
    </row>
    <row r="116" spans="1:17" x14ac:dyDescent="0.45">
      <c r="A116" s="5"/>
      <c r="B116" s="6"/>
      <c r="C116" s="6"/>
      <c r="D116" s="5"/>
      <c r="E116" s="5"/>
      <c r="F116" s="5"/>
      <c r="G116" s="5"/>
      <c r="H116" s="5"/>
      <c r="I116" s="7"/>
      <c r="J116" s="7"/>
      <c r="K116" s="8"/>
      <c r="L116" s="8" t="str">
        <f t="shared" si="8"/>
        <v/>
      </c>
      <c r="M116" s="8" t="str">
        <f t="shared" si="9"/>
        <v/>
      </c>
      <c r="N116" s="5"/>
      <c r="O116" s="5"/>
      <c r="P116" s="5"/>
      <c r="Q116" s="6"/>
    </row>
    <row r="117" spans="1:17" x14ac:dyDescent="0.45">
      <c r="A117" s="5"/>
      <c r="B117" s="6"/>
      <c r="C117" s="6"/>
      <c r="D117" s="5"/>
      <c r="E117" s="5"/>
      <c r="F117" s="5"/>
      <c r="G117" s="5"/>
      <c r="H117" s="5"/>
      <c r="I117" s="7"/>
      <c r="J117" s="7"/>
      <c r="K117" s="8"/>
      <c r="L117" s="8" t="str">
        <f t="shared" si="8"/>
        <v/>
      </c>
      <c r="M117" s="8" t="str">
        <f t="shared" si="9"/>
        <v/>
      </c>
      <c r="N117" s="5"/>
      <c r="O117" s="5"/>
      <c r="P117" s="5"/>
      <c r="Q117" s="6"/>
    </row>
    <row r="118" spans="1:17" x14ac:dyDescent="0.45">
      <c r="A118" s="5"/>
      <c r="B118" s="6"/>
      <c r="C118" s="6"/>
      <c r="D118" s="5"/>
      <c r="E118" s="5"/>
      <c r="F118" s="5"/>
      <c r="G118" s="5"/>
      <c r="H118" s="5"/>
      <c r="I118" s="7"/>
      <c r="J118" s="7"/>
      <c r="K118" s="8"/>
      <c r="L118" s="8" t="str">
        <f t="shared" si="8"/>
        <v/>
      </c>
      <c r="M118" s="8" t="str">
        <f t="shared" si="9"/>
        <v/>
      </c>
      <c r="N118" s="5"/>
      <c r="O118" s="5"/>
      <c r="P118" s="5"/>
      <c r="Q118" s="6"/>
    </row>
    <row r="119" spans="1:17" x14ac:dyDescent="0.45">
      <c r="A119" s="5"/>
      <c r="B119" s="6"/>
      <c r="C119" s="6"/>
      <c r="D119" s="5"/>
      <c r="E119" s="5"/>
      <c r="F119" s="5"/>
      <c r="G119" s="5"/>
      <c r="H119" s="5"/>
      <c r="I119" s="7"/>
      <c r="J119" s="7"/>
      <c r="K119" s="8"/>
      <c r="L119" s="8" t="str">
        <f t="shared" si="8"/>
        <v/>
      </c>
      <c r="M119" s="8" t="str">
        <f t="shared" si="9"/>
        <v/>
      </c>
      <c r="N119" s="5"/>
      <c r="O119" s="5"/>
      <c r="P119" s="5"/>
      <c r="Q119" s="6"/>
    </row>
    <row r="120" spans="1:17" x14ac:dyDescent="0.45">
      <c r="A120" s="5"/>
      <c r="B120" s="6"/>
      <c r="C120" s="6"/>
      <c r="D120" s="5"/>
      <c r="E120" s="5"/>
      <c r="F120" s="5"/>
      <c r="G120" s="5"/>
      <c r="H120" s="5"/>
      <c r="I120" s="7"/>
      <c r="J120" s="7"/>
      <c r="K120" s="8"/>
      <c r="L120" s="8" t="str">
        <f t="shared" si="8"/>
        <v/>
      </c>
      <c r="M120" s="8" t="str">
        <f t="shared" si="9"/>
        <v/>
      </c>
      <c r="N120" s="5"/>
      <c r="O120" s="5"/>
      <c r="P120" s="5"/>
      <c r="Q120" s="6"/>
    </row>
    <row r="121" spans="1:17" x14ac:dyDescent="0.45">
      <c r="A121" s="5"/>
      <c r="B121" s="6"/>
      <c r="C121" s="6"/>
      <c r="D121" s="5"/>
      <c r="E121" s="5"/>
      <c r="F121" s="5"/>
      <c r="G121" s="5"/>
      <c r="H121" s="5"/>
      <c r="I121" s="7"/>
      <c r="J121" s="7"/>
      <c r="K121" s="8"/>
      <c r="L121" s="8" t="str">
        <f t="shared" si="8"/>
        <v/>
      </c>
      <c r="M121" s="8" t="str">
        <f t="shared" si="9"/>
        <v/>
      </c>
      <c r="N121" s="5"/>
      <c r="O121" s="5"/>
      <c r="P121" s="5"/>
      <c r="Q121" s="6"/>
    </row>
    <row r="122" spans="1:17" x14ac:dyDescent="0.45">
      <c r="A122" s="5"/>
      <c r="B122" s="6"/>
      <c r="C122" s="6"/>
      <c r="D122" s="5"/>
      <c r="E122" s="5"/>
      <c r="F122" s="5"/>
      <c r="G122" s="5"/>
      <c r="H122" s="5"/>
      <c r="I122" s="7"/>
      <c r="J122" s="7"/>
      <c r="K122" s="8"/>
      <c r="L122" s="8" t="str">
        <f t="shared" si="8"/>
        <v/>
      </c>
      <c r="M122" s="8" t="str">
        <f t="shared" si="9"/>
        <v/>
      </c>
      <c r="N122" s="5"/>
      <c r="O122" s="5"/>
      <c r="P122" s="5"/>
      <c r="Q122" s="6"/>
    </row>
    <row r="123" spans="1:17" x14ac:dyDescent="0.45">
      <c r="A123" s="5"/>
      <c r="B123" s="6"/>
      <c r="C123" s="6"/>
      <c r="D123" s="5"/>
      <c r="E123" s="5"/>
      <c r="F123" s="5"/>
      <c r="G123" s="5"/>
      <c r="H123" s="5"/>
      <c r="I123" s="7"/>
      <c r="J123" s="7"/>
      <c r="K123" s="8"/>
      <c r="L123" s="8" t="str">
        <f t="shared" si="8"/>
        <v/>
      </c>
      <c r="M123" s="8" t="str">
        <f t="shared" si="9"/>
        <v/>
      </c>
      <c r="N123" s="5"/>
      <c r="O123" s="5"/>
      <c r="P123" s="5"/>
      <c r="Q123" s="6"/>
    </row>
    <row r="124" spans="1:17" x14ac:dyDescent="0.45">
      <c r="A124" s="5"/>
      <c r="B124" s="6"/>
      <c r="C124" s="6"/>
      <c r="D124" s="5"/>
      <c r="E124" s="5"/>
      <c r="F124" s="5"/>
      <c r="G124" s="5"/>
      <c r="H124" s="5"/>
      <c r="I124" s="7"/>
      <c r="J124" s="7"/>
      <c r="K124" s="8"/>
      <c r="L124" s="8" t="str">
        <f t="shared" si="8"/>
        <v/>
      </c>
      <c r="M124" s="8" t="str">
        <f t="shared" si="9"/>
        <v/>
      </c>
      <c r="N124" s="5"/>
      <c r="O124" s="5"/>
      <c r="P124" s="5"/>
      <c r="Q124" s="6"/>
    </row>
    <row r="125" spans="1:17" x14ac:dyDescent="0.45">
      <c r="A125" s="5"/>
      <c r="B125" s="6"/>
      <c r="C125" s="6"/>
      <c r="D125" s="5"/>
      <c r="E125" s="5"/>
      <c r="F125" s="5"/>
      <c r="G125" s="5"/>
      <c r="H125" s="5"/>
      <c r="I125" s="7"/>
      <c r="J125" s="7"/>
      <c r="K125" s="8"/>
      <c r="L125" s="8" t="str">
        <f t="shared" si="8"/>
        <v/>
      </c>
      <c r="M125" s="8" t="str">
        <f t="shared" si="9"/>
        <v/>
      </c>
      <c r="N125" s="5"/>
      <c r="O125" s="5"/>
      <c r="P125" s="5"/>
      <c r="Q125" s="6"/>
    </row>
    <row r="126" spans="1:17" x14ac:dyDescent="0.45">
      <c r="A126" s="5"/>
      <c r="B126" s="6"/>
      <c r="C126" s="6"/>
      <c r="D126" s="5"/>
      <c r="E126" s="5"/>
      <c r="F126" s="5"/>
      <c r="G126" s="5"/>
      <c r="H126" s="5"/>
      <c r="I126" s="7"/>
      <c r="J126" s="7"/>
      <c r="K126" s="8"/>
      <c r="L126" s="8" t="str">
        <f t="shared" si="8"/>
        <v/>
      </c>
      <c r="M126" s="8" t="str">
        <f t="shared" si="9"/>
        <v/>
      </c>
      <c r="N126" s="5"/>
      <c r="O126" s="5"/>
      <c r="P126" s="5"/>
      <c r="Q126" s="6"/>
    </row>
    <row r="127" spans="1:17" x14ac:dyDescent="0.45">
      <c r="A127" s="5"/>
      <c r="B127" s="6"/>
      <c r="C127" s="6"/>
      <c r="D127" s="5"/>
      <c r="E127" s="5"/>
      <c r="F127" s="5"/>
      <c r="G127" s="5"/>
      <c r="H127" s="5"/>
      <c r="I127" s="7"/>
      <c r="J127" s="7"/>
      <c r="K127" s="8"/>
      <c r="L127" s="8" t="str">
        <f t="shared" si="8"/>
        <v/>
      </c>
      <c r="M127" s="8" t="str">
        <f t="shared" si="9"/>
        <v/>
      </c>
      <c r="N127" s="5"/>
      <c r="O127" s="5"/>
      <c r="P127" s="5"/>
      <c r="Q127" s="6"/>
    </row>
    <row r="128" spans="1:17" x14ac:dyDescent="0.45">
      <c r="A128" s="5"/>
      <c r="B128" s="6"/>
      <c r="C128" s="6"/>
      <c r="D128" s="5"/>
      <c r="E128" s="5"/>
      <c r="F128" s="5"/>
      <c r="G128" s="5"/>
      <c r="H128" s="5"/>
      <c r="I128" s="7"/>
      <c r="J128" s="7"/>
      <c r="K128" s="8"/>
      <c r="L128" s="8" t="str">
        <f t="shared" si="8"/>
        <v/>
      </c>
      <c r="M128" s="8" t="str">
        <f t="shared" si="9"/>
        <v/>
      </c>
      <c r="N128" s="5"/>
      <c r="O128" s="5"/>
      <c r="P128" s="5"/>
      <c r="Q128" s="6"/>
    </row>
    <row r="129" spans="1:17" x14ac:dyDescent="0.45">
      <c r="A129" s="5"/>
      <c r="B129" s="6"/>
      <c r="C129" s="6"/>
      <c r="D129" s="5"/>
      <c r="E129" s="5"/>
      <c r="F129" s="5"/>
      <c r="G129" s="5"/>
      <c r="H129" s="5"/>
      <c r="I129" s="7"/>
      <c r="J129" s="7"/>
      <c r="K129" s="8"/>
      <c r="L129" s="8" t="str">
        <f t="shared" si="8"/>
        <v/>
      </c>
      <c r="M129" s="8" t="str">
        <f t="shared" si="9"/>
        <v/>
      </c>
      <c r="N129" s="5"/>
      <c r="O129" s="5"/>
      <c r="P129" s="5"/>
      <c r="Q129" s="6"/>
    </row>
    <row r="130" spans="1:17" x14ac:dyDescent="0.45">
      <c r="A130" s="5"/>
      <c r="B130" s="6"/>
      <c r="C130" s="6"/>
      <c r="D130" s="5"/>
      <c r="E130" s="5"/>
      <c r="F130" s="5"/>
      <c r="G130" s="5"/>
      <c r="H130" s="5"/>
      <c r="I130" s="7"/>
      <c r="J130" s="7"/>
      <c r="K130" s="8"/>
      <c r="L130" s="8" t="str">
        <f t="shared" si="8"/>
        <v/>
      </c>
      <c r="M130" s="8" t="str">
        <f t="shared" si="9"/>
        <v/>
      </c>
      <c r="N130" s="5"/>
      <c r="O130" s="5"/>
      <c r="P130" s="5"/>
      <c r="Q130" s="6"/>
    </row>
    <row r="131" spans="1:17" x14ac:dyDescent="0.45">
      <c r="A131" s="5"/>
      <c r="B131" s="6"/>
      <c r="C131" s="6"/>
      <c r="D131" s="5"/>
      <c r="E131" s="5"/>
      <c r="F131" s="5"/>
      <c r="G131" s="5"/>
      <c r="H131" s="5"/>
      <c r="I131" s="7"/>
      <c r="J131" s="7"/>
      <c r="K131" s="8"/>
      <c r="L131" s="8" t="str">
        <f t="shared" si="8"/>
        <v/>
      </c>
      <c r="M131" s="8" t="str">
        <f t="shared" si="9"/>
        <v/>
      </c>
      <c r="N131" s="5"/>
      <c r="O131" s="5"/>
      <c r="P131" s="5"/>
      <c r="Q131" s="6"/>
    </row>
    <row r="132" spans="1:17" x14ac:dyDescent="0.45">
      <c r="A132" s="5"/>
      <c r="B132" s="6"/>
      <c r="C132" s="6"/>
      <c r="D132" s="5"/>
      <c r="E132" s="5"/>
      <c r="F132" s="5"/>
      <c r="G132" s="5"/>
      <c r="H132" s="5"/>
      <c r="I132" s="7"/>
      <c r="J132" s="7"/>
      <c r="K132" s="8"/>
      <c r="L132" s="8" t="str">
        <f t="shared" si="8"/>
        <v/>
      </c>
      <c r="M132" s="8" t="str">
        <f t="shared" si="9"/>
        <v/>
      </c>
      <c r="N132" s="5"/>
      <c r="O132" s="5"/>
      <c r="P132" s="5"/>
      <c r="Q132" s="6"/>
    </row>
    <row r="133" spans="1:17" x14ac:dyDescent="0.45">
      <c r="A133" s="5"/>
      <c r="B133" s="6"/>
      <c r="C133" s="6"/>
      <c r="D133" s="5"/>
      <c r="E133" s="5"/>
      <c r="F133" s="5"/>
      <c r="G133" s="5"/>
      <c r="H133" s="5"/>
      <c r="I133" s="7"/>
      <c r="J133" s="7"/>
      <c r="K133" s="8"/>
      <c r="L133" s="8" t="str">
        <f t="shared" si="8"/>
        <v/>
      </c>
      <c r="M133" s="8" t="str">
        <f t="shared" si="9"/>
        <v/>
      </c>
      <c r="N133" s="5"/>
      <c r="O133" s="5"/>
      <c r="P133" s="5"/>
      <c r="Q133" s="6"/>
    </row>
    <row r="134" spans="1:17" x14ac:dyDescent="0.45">
      <c r="A134" s="5"/>
      <c r="B134" s="6"/>
      <c r="C134" s="6"/>
      <c r="D134" s="5"/>
      <c r="E134" s="5"/>
      <c r="F134" s="5"/>
      <c r="G134" s="5"/>
      <c r="H134" s="5"/>
      <c r="I134" s="7"/>
      <c r="J134" s="7"/>
      <c r="K134" s="8"/>
      <c r="L134" s="8" t="str">
        <f t="shared" si="8"/>
        <v/>
      </c>
      <c r="M134" s="8" t="str">
        <f t="shared" si="9"/>
        <v/>
      </c>
      <c r="N134" s="5"/>
      <c r="O134" s="5"/>
      <c r="P134" s="5"/>
      <c r="Q134" s="6"/>
    </row>
    <row r="135" spans="1:17" x14ac:dyDescent="0.45">
      <c r="A135" s="5"/>
      <c r="B135" s="6"/>
      <c r="C135" s="6"/>
      <c r="D135" s="5"/>
      <c r="E135" s="5"/>
      <c r="F135" s="5"/>
      <c r="G135" s="5"/>
      <c r="H135" s="5"/>
      <c r="I135" s="7"/>
      <c r="J135" s="7"/>
      <c r="K135" s="8"/>
      <c r="L135" s="8" t="str">
        <f t="shared" si="8"/>
        <v/>
      </c>
      <c r="M135" s="8" t="str">
        <f t="shared" si="9"/>
        <v/>
      </c>
      <c r="N135" s="5"/>
      <c r="O135" s="5"/>
      <c r="P135" s="5"/>
      <c r="Q135" s="6"/>
    </row>
    <row r="136" spans="1:17" x14ac:dyDescent="0.45">
      <c r="A136" s="5"/>
      <c r="B136" s="6"/>
      <c r="C136" s="6"/>
      <c r="D136" s="5"/>
      <c r="E136" s="5"/>
      <c r="F136" s="5"/>
      <c r="G136" s="5"/>
      <c r="H136" s="5"/>
      <c r="I136" s="7"/>
      <c r="J136" s="7"/>
      <c r="K136" s="8"/>
      <c r="L136" s="8" t="str">
        <f t="shared" si="8"/>
        <v/>
      </c>
      <c r="M136" s="8" t="str">
        <f t="shared" si="9"/>
        <v/>
      </c>
      <c r="N136" s="5"/>
      <c r="O136" s="5"/>
      <c r="P136" s="5"/>
      <c r="Q136" s="6"/>
    </row>
    <row r="137" spans="1:17" x14ac:dyDescent="0.45">
      <c r="A137" s="5"/>
      <c r="B137" s="6"/>
      <c r="C137" s="6"/>
      <c r="D137" s="5"/>
      <c r="E137" s="5"/>
      <c r="F137" s="5"/>
      <c r="G137" s="5"/>
      <c r="H137" s="5"/>
      <c r="I137" s="7"/>
      <c r="J137" s="7"/>
      <c r="K137" s="8"/>
      <c r="L137" s="8" t="str">
        <f t="shared" si="8"/>
        <v/>
      </c>
      <c r="M137" s="8" t="str">
        <f t="shared" si="9"/>
        <v/>
      </c>
      <c r="N137" s="5"/>
      <c r="O137" s="5"/>
      <c r="P137" s="5"/>
      <c r="Q137" s="6"/>
    </row>
    <row r="138" spans="1:17" x14ac:dyDescent="0.45">
      <c r="A138" s="5"/>
      <c r="B138" s="6"/>
      <c r="C138" s="6"/>
      <c r="D138" s="5"/>
      <c r="E138" s="5"/>
      <c r="F138" s="5"/>
      <c r="G138" s="5"/>
      <c r="H138" s="5"/>
      <c r="I138" s="7"/>
      <c r="J138" s="7"/>
      <c r="K138" s="8"/>
      <c r="L138" s="8" t="str">
        <f t="shared" si="8"/>
        <v/>
      </c>
      <c r="M138" s="8" t="str">
        <f t="shared" si="9"/>
        <v/>
      </c>
      <c r="N138" s="5"/>
      <c r="O138" s="5"/>
      <c r="P138" s="5"/>
      <c r="Q138" s="6"/>
    </row>
    <row r="139" spans="1:17" x14ac:dyDescent="0.45">
      <c r="A139" s="5"/>
      <c r="B139" s="6"/>
      <c r="C139" s="6"/>
      <c r="D139" s="5"/>
      <c r="E139" s="5"/>
      <c r="F139" s="5"/>
      <c r="G139" s="5"/>
      <c r="H139" s="5"/>
      <c r="I139" s="7"/>
      <c r="J139" s="7"/>
      <c r="K139" s="8"/>
      <c r="L139" s="8" t="str">
        <f t="shared" si="8"/>
        <v/>
      </c>
      <c r="M139" s="8" t="str">
        <f t="shared" si="9"/>
        <v/>
      </c>
      <c r="N139" s="5"/>
      <c r="O139" s="5"/>
      <c r="P139" s="5"/>
      <c r="Q139" s="6"/>
    </row>
    <row r="140" spans="1:17" x14ac:dyDescent="0.45">
      <c r="A140" s="5"/>
      <c r="B140" s="6"/>
      <c r="C140" s="6"/>
      <c r="D140" s="5"/>
      <c r="E140" s="5"/>
      <c r="F140" s="5"/>
      <c r="G140" s="5"/>
      <c r="H140" s="5"/>
      <c r="I140" s="7"/>
      <c r="J140" s="7"/>
      <c r="K140" s="8"/>
      <c r="L140" s="8" t="str">
        <f t="shared" si="8"/>
        <v/>
      </c>
      <c r="M140" s="8" t="str">
        <f t="shared" si="9"/>
        <v/>
      </c>
      <c r="N140" s="5"/>
      <c r="O140" s="5"/>
      <c r="P140" s="5"/>
      <c r="Q140" s="6"/>
    </row>
    <row r="141" spans="1:17" x14ac:dyDescent="0.45">
      <c r="A141" s="5"/>
      <c r="B141" s="6"/>
      <c r="C141" s="6"/>
      <c r="D141" s="5"/>
      <c r="E141" s="5"/>
      <c r="F141" s="5"/>
      <c r="G141" s="5"/>
      <c r="H141" s="5"/>
      <c r="I141" s="7"/>
      <c r="J141" s="7"/>
      <c r="K141" s="8"/>
      <c r="L141" s="8" t="str">
        <f t="shared" si="8"/>
        <v/>
      </c>
      <c r="M141" s="8" t="str">
        <f t="shared" si="9"/>
        <v/>
      </c>
      <c r="N141" s="5"/>
      <c r="O141" s="5"/>
      <c r="P141" s="5"/>
      <c r="Q141" s="6"/>
    </row>
    <row r="142" spans="1:17" x14ac:dyDescent="0.45">
      <c r="A142" s="5"/>
      <c r="B142" s="6"/>
      <c r="C142" s="6"/>
      <c r="D142" s="5"/>
      <c r="E142" s="5"/>
      <c r="F142" s="5"/>
      <c r="G142" s="5"/>
      <c r="H142" s="5"/>
      <c r="I142" s="7"/>
      <c r="J142" s="7"/>
      <c r="K142" s="8"/>
      <c r="L142" s="8" t="str">
        <f t="shared" si="8"/>
        <v/>
      </c>
      <c r="M142" s="8" t="str">
        <f t="shared" si="9"/>
        <v/>
      </c>
      <c r="N142" s="5"/>
      <c r="O142" s="5"/>
      <c r="P142" s="5"/>
      <c r="Q142" s="6"/>
    </row>
    <row r="143" spans="1:17" x14ac:dyDescent="0.45">
      <c r="A143" s="5"/>
      <c r="B143" s="6"/>
      <c r="C143" s="6"/>
      <c r="D143" s="5"/>
      <c r="E143" s="5"/>
      <c r="F143" s="5"/>
      <c r="G143" s="5"/>
      <c r="H143" s="5"/>
      <c r="I143" s="7"/>
      <c r="J143" s="7"/>
      <c r="K143" s="8"/>
      <c r="L143" s="8" t="str">
        <f t="shared" ref="L143:L174" si="10">IF(AND(I143&lt;&gt;"",K143&lt;&gt;""),I143*K143,"")</f>
        <v/>
      </c>
      <c r="M143" s="8" t="str">
        <f t="shared" ref="M143:M174" si="11">IF(AND(J143&lt;&gt;"",K143&lt;&gt;""),J143*K143,"")</f>
        <v/>
      </c>
      <c r="N143" s="5"/>
      <c r="O143" s="5"/>
      <c r="P143" s="5"/>
      <c r="Q143" s="6"/>
    </row>
    <row r="144" spans="1:17" x14ac:dyDescent="0.45">
      <c r="A144" s="5"/>
      <c r="B144" s="6"/>
      <c r="C144" s="6"/>
      <c r="D144" s="5"/>
      <c r="E144" s="5"/>
      <c r="F144" s="5"/>
      <c r="G144" s="5"/>
      <c r="H144" s="5"/>
      <c r="I144" s="7"/>
      <c r="J144" s="7"/>
      <c r="K144" s="8"/>
      <c r="L144" s="8" t="str">
        <f t="shared" si="10"/>
        <v/>
      </c>
      <c r="M144" s="8" t="str">
        <f t="shared" si="11"/>
        <v/>
      </c>
      <c r="N144" s="5"/>
      <c r="O144" s="5"/>
      <c r="P144" s="5"/>
      <c r="Q144" s="6"/>
    </row>
    <row r="145" spans="1:17" x14ac:dyDescent="0.45">
      <c r="A145" s="5"/>
      <c r="B145" s="6"/>
      <c r="C145" s="6"/>
      <c r="D145" s="5"/>
      <c r="E145" s="5"/>
      <c r="F145" s="5"/>
      <c r="G145" s="5"/>
      <c r="H145" s="5"/>
      <c r="I145" s="7"/>
      <c r="J145" s="7"/>
      <c r="K145" s="8"/>
      <c r="L145" s="8" t="str">
        <f t="shared" si="10"/>
        <v/>
      </c>
      <c r="M145" s="8" t="str">
        <f t="shared" si="11"/>
        <v/>
      </c>
      <c r="N145" s="5"/>
      <c r="O145" s="5"/>
      <c r="P145" s="5"/>
      <c r="Q145" s="6"/>
    </row>
    <row r="146" spans="1:17" x14ac:dyDescent="0.45">
      <c r="A146" s="5"/>
      <c r="B146" s="6"/>
      <c r="C146" s="6"/>
      <c r="D146" s="5"/>
      <c r="E146" s="5"/>
      <c r="F146" s="5"/>
      <c r="G146" s="5"/>
      <c r="H146" s="5"/>
      <c r="I146" s="7"/>
      <c r="J146" s="7"/>
      <c r="K146" s="8"/>
      <c r="L146" s="8" t="str">
        <f t="shared" si="10"/>
        <v/>
      </c>
      <c r="M146" s="8" t="str">
        <f t="shared" si="11"/>
        <v/>
      </c>
      <c r="N146" s="5"/>
      <c r="O146" s="5"/>
      <c r="P146" s="5"/>
      <c r="Q146" s="6"/>
    </row>
    <row r="147" spans="1:17" x14ac:dyDescent="0.45">
      <c r="A147" s="5"/>
      <c r="B147" s="6"/>
      <c r="C147" s="6"/>
      <c r="D147" s="5"/>
      <c r="E147" s="5"/>
      <c r="F147" s="5"/>
      <c r="G147" s="5"/>
      <c r="H147" s="5"/>
      <c r="I147" s="7"/>
      <c r="J147" s="7"/>
      <c r="K147" s="8"/>
      <c r="L147" s="8" t="str">
        <f t="shared" si="10"/>
        <v/>
      </c>
      <c r="M147" s="8" t="str">
        <f t="shared" si="11"/>
        <v/>
      </c>
      <c r="N147" s="5"/>
      <c r="O147" s="5"/>
      <c r="P147" s="5"/>
      <c r="Q147" s="6"/>
    </row>
    <row r="148" spans="1:17" x14ac:dyDescent="0.45">
      <c r="A148" s="5"/>
      <c r="B148" s="6"/>
      <c r="C148" s="6"/>
      <c r="D148" s="5"/>
      <c r="E148" s="5"/>
      <c r="F148" s="5"/>
      <c r="G148" s="5"/>
      <c r="H148" s="5"/>
      <c r="I148" s="7"/>
      <c r="J148" s="7"/>
      <c r="K148" s="8"/>
      <c r="L148" s="8" t="str">
        <f t="shared" si="10"/>
        <v/>
      </c>
      <c r="M148" s="8" t="str">
        <f t="shared" si="11"/>
        <v/>
      </c>
      <c r="N148" s="5"/>
      <c r="O148" s="5"/>
      <c r="P148" s="5"/>
      <c r="Q148" s="6"/>
    </row>
    <row r="149" spans="1:17" x14ac:dyDescent="0.45">
      <c r="A149" s="5"/>
      <c r="B149" s="6"/>
      <c r="C149" s="6"/>
      <c r="D149" s="5"/>
      <c r="E149" s="5"/>
      <c r="F149" s="5"/>
      <c r="G149" s="5"/>
      <c r="H149" s="5"/>
      <c r="I149" s="7"/>
      <c r="J149" s="7"/>
      <c r="K149" s="8"/>
      <c r="L149" s="8" t="str">
        <f t="shared" si="10"/>
        <v/>
      </c>
      <c r="M149" s="8" t="str">
        <f t="shared" si="11"/>
        <v/>
      </c>
      <c r="N149" s="5"/>
      <c r="O149" s="5"/>
      <c r="P149" s="5"/>
      <c r="Q149" s="6"/>
    </row>
    <row r="150" spans="1:17" x14ac:dyDescent="0.45">
      <c r="A150" s="5"/>
      <c r="B150" s="6"/>
      <c r="C150" s="6"/>
      <c r="D150" s="5"/>
      <c r="E150" s="5"/>
      <c r="F150" s="5"/>
      <c r="G150" s="5"/>
      <c r="H150" s="5"/>
      <c r="I150" s="7"/>
      <c r="J150" s="7"/>
      <c r="K150" s="8"/>
      <c r="L150" s="8" t="str">
        <f t="shared" si="10"/>
        <v/>
      </c>
      <c r="M150" s="8" t="str">
        <f t="shared" si="11"/>
        <v/>
      </c>
      <c r="N150" s="5"/>
      <c r="O150" s="5"/>
      <c r="P150" s="5"/>
      <c r="Q150" s="6"/>
    </row>
    <row r="151" spans="1:17" x14ac:dyDescent="0.45">
      <c r="A151" s="5"/>
      <c r="B151" s="6"/>
      <c r="C151" s="6"/>
      <c r="D151" s="5"/>
      <c r="E151" s="5"/>
      <c r="F151" s="5"/>
      <c r="G151" s="5"/>
      <c r="H151" s="5"/>
      <c r="I151" s="7"/>
      <c r="J151" s="7"/>
      <c r="K151" s="8"/>
      <c r="L151" s="8" t="str">
        <f t="shared" si="10"/>
        <v/>
      </c>
      <c r="M151" s="8" t="str">
        <f t="shared" si="11"/>
        <v/>
      </c>
      <c r="N151" s="5"/>
      <c r="O151" s="5"/>
      <c r="P151" s="5"/>
      <c r="Q151" s="6"/>
    </row>
    <row r="152" spans="1:17" x14ac:dyDescent="0.45">
      <c r="A152" s="5"/>
      <c r="B152" s="6"/>
      <c r="C152" s="6"/>
      <c r="D152" s="5"/>
      <c r="E152" s="5"/>
      <c r="F152" s="5"/>
      <c r="G152" s="5"/>
      <c r="H152" s="5"/>
      <c r="I152" s="7"/>
      <c r="J152" s="7"/>
      <c r="K152" s="8"/>
      <c r="L152" s="8" t="str">
        <f t="shared" si="10"/>
        <v/>
      </c>
      <c r="M152" s="8" t="str">
        <f t="shared" si="11"/>
        <v/>
      </c>
      <c r="N152" s="5"/>
      <c r="O152" s="5"/>
      <c r="P152" s="5"/>
      <c r="Q152" s="6"/>
    </row>
    <row r="153" spans="1:17" x14ac:dyDescent="0.45">
      <c r="A153" s="5"/>
      <c r="B153" s="6"/>
      <c r="C153" s="6"/>
      <c r="D153" s="5"/>
      <c r="E153" s="5"/>
      <c r="F153" s="5"/>
      <c r="G153" s="5"/>
      <c r="H153" s="5"/>
      <c r="I153" s="7"/>
      <c r="J153" s="7"/>
      <c r="K153" s="8"/>
      <c r="L153" s="8" t="str">
        <f t="shared" si="10"/>
        <v/>
      </c>
      <c r="M153" s="8" t="str">
        <f t="shared" si="11"/>
        <v/>
      </c>
      <c r="N153" s="5"/>
      <c r="O153" s="5"/>
      <c r="P153" s="5"/>
      <c r="Q153" s="6"/>
    </row>
    <row r="154" spans="1:17" x14ac:dyDescent="0.45">
      <c r="A154" s="5"/>
      <c r="B154" s="6"/>
      <c r="C154" s="6"/>
      <c r="D154" s="5"/>
      <c r="E154" s="5"/>
      <c r="F154" s="5"/>
      <c r="G154" s="5"/>
      <c r="H154" s="5"/>
      <c r="I154" s="7"/>
      <c r="J154" s="7"/>
      <c r="K154" s="8"/>
      <c r="L154" s="8" t="str">
        <f t="shared" si="10"/>
        <v/>
      </c>
      <c r="M154" s="8" t="str">
        <f t="shared" si="11"/>
        <v/>
      </c>
      <c r="N154" s="5"/>
      <c r="O154" s="5"/>
      <c r="P154" s="5"/>
      <c r="Q154" s="6"/>
    </row>
    <row r="155" spans="1:17" x14ac:dyDescent="0.45">
      <c r="A155" s="5"/>
      <c r="B155" s="6"/>
      <c r="C155" s="6"/>
      <c r="D155" s="5"/>
      <c r="E155" s="5"/>
      <c r="F155" s="5"/>
      <c r="G155" s="5"/>
      <c r="H155" s="5"/>
      <c r="I155" s="7"/>
      <c r="J155" s="7"/>
      <c r="K155" s="8"/>
      <c r="L155" s="8" t="str">
        <f t="shared" si="10"/>
        <v/>
      </c>
      <c r="M155" s="8" t="str">
        <f t="shared" si="11"/>
        <v/>
      </c>
      <c r="N155" s="5"/>
      <c r="O155" s="5"/>
      <c r="P155" s="5"/>
      <c r="Q155" s="6"/>
    </row>
    <row r="156" spans="1:17" x14ac:dyDescent="0.45">
      <c r="A156" s="5"/>
      <c r="B156" s="6"/>
      <c r="C156" s="6"/>
      <c r="D156" s="5"/>
      <c r="E156" s="5"/>
      <c r="F156" s="5"/>
      <c r="G156" s="5"/>
      <c r="H156" s="5"/>
      <c r="I156" s="7"/>
      <c r="J156" s="7"/>
      <c r="K156" s="8"/>
      <c r="L156" s="8" t="str">
        <f t="shared" si="10"/>
        <v/>
      </c>
      <c r="M156" s="8" t="str">
        <f t="shared" si="11"/>
        <v/>
      </c>
      <c r="N156" s="5"/>
      <c r="O156" s="5"/>
      <c r="P156" s="5"/>
      <c r="Q156" s="6"/>
    </row>
    <row r="157" spans="1:17" x14ac:dyDescent="0.45">
      <c r="A157" s="5"/>
      <c r="B157" s="6"/>
      <c r="C157" s="6"/>
      <c r="D157" s="5"/>
      <c r="E157" s="5"/>
      <c r="F157" s="5"/>
      <c r="G157" s="5"/>
      <c r="H157" s="5"/>
      <c r="I157" s="7"/>
      <c r="J157" s="7"/>
      <c r="K157" s="8"/>
      <c r="L157" s="8" t="str">
        <f t="shared" si="10"/>
        <v/>
      </c>
      <c r="M157" s="8" t="str">
        <f t="shared" si="11"/>
        <v/>
      </c>
      <c r="N157" s="5"/>
      <c r="O157" s="5"/>
      <c r="P157" s="5"/>
      <c r="Q157" s="6"/>
    </row>
    <row r="158" spans="1:17" x14ac:dyDescent="0.45">
      <c r="A158" s="5"/>
      <c r="B158" s="6"/>
      <c r="C158" s="6"/>
      <c r="D158" s="5"/>
      <c r="E158" s="5"/>
      <c r="F158" s="5"/>
      <c r="G158" s="5"/>
      <c r="H158" s="5"/>
      <c r="I158" s="7"/>
      <c r="J158" s="7"/>
      <c r="K158" s="8"/>
      <c r="L158" s="8" t="str">
        <f t="shared" si="10"/>
        <v/>
      </c>
      <c r="M158" s="8" t="str">
        <f t="shared" si="11"/>
        <v/>
      </c>
      <c r="N158" s="5"/>
      <c r="O158" s="5"/>
      <c r="P158" s="5"/>
      <c r="Q158" s="6"/>
    </row>
    <row r="159" spans="1:17" x14ac:dyDescent="0.45">
      <c r="A159" s="5"/>
      <c r="B159" s="6"/>
      <c r="C159" s="6"/>
      <c r="D159" s="5"/>
      <c r="E159" s="5"/>
      <c r="F159" s="5"/>
      <c r="G159" s="5"/>
      <c r="H159" s="5"/>
      <c r="I159" s="7"/>
      <c r="J159" s="7"/>
      <c r="K159" s="8"/>
      <c r="L159" s="8" t="str">
        <f t="shared" si="10"/>
        <v/>
      </c>
      <c r="M159" s="8" t="str">
        <f t="shared" si="11"/>
        <v/>
      </c>
      <c r="N159" s="5"/>
      <c r="O159" s="5"/>
      <c r="P159" s="5"/>
      <c r="Q159" s="6"/>
    </row>
    <row r="160" spans="1:17" x14ac:dyDescent="0.45">
      <c r="A160" s="5"/>
      <c r="B160" s="6"/>
      <c r="C160" s="6"/>
      <c r="D160" s="5"/>
      <c r="E160" s="5"/>
      <c r="F160" s="5"/>
      <c r="G160" s="5"/>
      <c r="H160" s="5"/>
      <c r="I160" s="7"/>
      <c r="J160" s="7"/>
      <c r="K160" s="8"/>
      <c r="L160" s="8" t="str">
        <f t="shared" si="10"/>
        <v/>
      </c>
      <c r="M160" s="8" t="str">
        <f t="shared" si="11"/>
        <v/>
      </c>
      <c r="N160" s="5"/>
      <c r="O160" s="5"/>
      <c r="P160" s="5"/>
      <c r="Q160" s="6"/>
    </row>
    <row r="161" spans="1:17" x14ac:dyDescent="0.45">
      <c r="A161" s="5"/>
      <c r="B161" s="6"/>
      <c r="C161" s="6"/>
      <c r="D161" s="5"/>
      <c r="E161" s="5"/>
      <c r="F161" s="5"/>
      <c r="G161" s="5"/>
      <c r="H161" s="5"/>
      <c r="I161" s="7"/>
      <c r="J161" s="7"/>
      <c r="K161" s="8"/>
      <c r="L161" s="8" t="str">
        <f t="shared" si="10"/>
        <v/>
      </c>
      <c r="M161" s="8" t="str">
        <f t="shared" si="11"/>
        <v/>
      </c>
      <c r="N161" s="5"/>
      <c r="O161" s="5"/>
      <c r="P161" s="5"/>
      <c r="Q161" s="6"/>
    </row>
    <row r="162" spans="1:17" x14ac:dyDescent="0.45">
      <c r="A162" s="5"/>
      <c r="B162" s="6"/>
      <c r="C162" s="6"/>
      <c r="D162" s="5"/>
      <c r="E162" s="5"/>
      <c r="F162" s="5"/>
      <c r="G162" s="5"/>
      <c r="H162" s="5"/>
      <c r="I162" s="7"/>
      <c r="J162" s="7"/>
      <c r="K162" s="8"/>
      <c r="L162" s="8" t="str">
        <f t="shared" si="10"/>
        <v/>
      </c>
      <c r="M162" s="8" t="str">
        <f t="shared" si="11"/>
        <v/>
      </c>
      <c r="N162" s="5"/>
      <c r="O162" s="5"/>
      <c r="P162" s="5"/>
      <c r="Q162" s="6"/>
    </row>
    <row r="163" spans="1:17" x14ac:dyDescent="0.45">
      <c r="A163" s="5"/>
      <c r="B163" s="6"/>
      <c r="C163" s="6"/>
      <c r="D163" s="5"/>
      <c r="E163" s="5"/>
      <c r="F163" s="5"/>
      <c r="G163" s="5"/>
      <c r="H163" s="5"/>
      <c r="I163" s="7"/>
      <c r="J163" s="7"/>
      <c r="K163" s="8"/>
      <c r="L163" s="8" t="str">
        <f t="shared" si="10"/>
        <v/>
      </c>
      <c r="M163" s="8" t="str">
        <f t="shared" si="11"/>
        <v/>
      </c>
      <c r="N163" s="5"/>
      <c r="O163" s="5"/>
      <c r="P163" s="5"/>
      <c r="Q163" s="6"/>
    </row>
    <row r="164" spans="1:17" x14ac:dyDescent="0.45">
      <c r="A164" s="5"/>
      <c r="B164" s="6"/>
      <c r="C164" s="6"/>
      <c r="D164" s="5"/>
      <c r="E164" s="5"/>
      <c r="F164" s="5"/>
      <c r="G164" s="5"/>
      <c r="H164" s="5"/>
      <c r="I164" s="7"/>
      <c r="J164" s="7"/>
      <c r="K164" s="8"/>
      <c r="L164" s="8" t="str">
        <f t="shared" si="10"/>
        <v/>
      </c>
      <c r="M164" s="8" t="str">
        <f t="shared" si="11"/>
        <v/>
      </c>
      <c r="N164" s="5"/>
      <c r="O164" s="5"/>
      <c r="P164" s="5"/>
      <c r="Q164" s="6"/>
    </row>
    <row r="165" spans="1:17" x14ac:dyDescent="0.45">
      <c r="A165" s="5"/>
      <c r="B165" s="6"/>
      <c r="C165" s="6"/>
      <c r="D165" s="5"/>
      <c r="E165" s="5"/>
      <c r="F165" s="5"/>
      <c r="G165" s="5"/>
      <c r="H165" s="5"/>
      <c r="I165" s="7"/>
      <c r="J165" s="7"/>
      <c r="K165" s="8"/>
      <c r="L165" s="8" t="str">
        <f t="shared" si="10"/>
        <v/>
      </c>
      <c r="M165" s="8" t="str">
        <f t="shared" si="11"/>
        <v/>
      </c>
      <c r="N165" s="5"/>
      <c r="O165" s="5"/>
      <c r="P165" s="5"/>
      <c r="Q165" s="6"/>
    </row>
    <row r="166" spans="1:17" x14ac:dyDescent="0.45">
      <c r="A166" s="5"/>
      <c r="B166" s="6"/>
      <c r="C166" s="6"/>
      <c r="D166" s="5"/>
      <c r="E166" s="5"/>
      <c r="F166" s="5"/>
      <c r="G166" s="5"/>
      <c r="H166" s="5"/>
      <c r="I166" s="7"/>
      <c r="J166" s="7"/>
      <c r="K166" s="8"/>
      <c r="L166" s="8" t="str">
        <f t="shared" si="10"/>
        <v/>
      </c>
      <c r="M166" s="8" t="str">
        <f t="shared" si="11"/>
        <v/>
      </c>
      <c r="N166" s="5"/>
      <c r="O166" s="5"/>
      <c r="P166" s="5"/>
      <c r="Q166" s="6"/>
    </row>
    <row r="167" spans="1:17" x14ac:dyDescent="0.45">
      <c r="A167" s="5"/>
      <c r="B167" s="6"/>
      <c r="C167" s="6"/>
      <c r="D167" s="5"/>
      <c r="E167" s="5"/>
      <c r="F167" s="5"/>
      <c r="G167" s="5"/>
      <c r="H167" s="5"/>
      <c r="I167" s="7"/>
      <c r="J167" s="7"/>
      <c r="K167" s="8"/>
      <c r="L167" s="8" t="str">
        <f t="shared" si="10"/>
        <v/>
      </c>
      <c r="M167" s="8" t="str">
        <f t="shared" si="11"/>
        <v/>
      </c>
      <c r="N167" s="5"/>
      <c r="O167" s="5"/>
      <c r="P167" s="5"/>
      <c r="Q167" s="6"/>
    </row>
    <row r="168" spans="1:17" x14ac:dyDescent="0.45">
      <c r="A168" s="5"/>
      <c r="B168" s="6"/>
      <c r="C168" s="6"/>
      <c r="D168" s="5"/>
      <c r="E168" s="5"/>
      <c r="F168" s="5"/>
      <c r="G168" s="5"/>
      <c r="H168" s="5"/>
      <c r="I168" s="7"/>
      <c r="J168" s="7"/>
      <c r="K168" s="8"/>
      <c r="L168" s="8" t="str">
        <f t="shared" si="10"/>
        <v/>
      </c>
      <c r="M168" s="8" t="str">
        <f t="shared" si="11"/>
        <v/>
      </c>
      <c r="N168" s="5"/>
      <c r="O168" s="5"/>
      <c r="P168" s="5"/>
      <c r="Q168" s="6"/>
    </row>
    <row r="169" spans="1:17" x14ac:dyDescent="0.45">
      <c r="A169" s="5"/>
      <c r="B169" s="6"/>
      <c r="C169" s="6"/>
      <c r="D169" s="5"/>
      <c r="E169" s="5"/>
      <c r="F169" s="5"/>
      <c r="G169" s="5"/>
      <c r="H169" s="5"/>
      <c r="I169" s="7"/>
      <c r="J169" s="7"/>
      <c r="K169" s="8"/>
      <c r="L169" s="8" t="str">
        <f t="shared" si="10"/>
        <v/>
      </c>
      <c r="M169" s="8" t="str">
        <f t="shared" si="11"/>
        <v/>
      </c>
      <c r="N169" s="5"/>
      <c r="O169" s="5"/>
      <c r="P169" s="5"/>
      <c r="Q169" s="6"/>
    </row>
    <row r="170" spans="1:17" x14ac:dyDescent="0.45">
      <c r="A170" s="5"/>
      <c r="B170" s="6"/>
      <c r="C170" s="6"/>
      <c r="D170" s="5"/>
      <c r="E170" s="5"/>
      <c r="F170" s="5"/>
      <c r="G170" s="5"/>
      <c r="H170" s="5"/>
      <c r="I170" s="7"/>
      <c r="J170" s="7"/>
      <c r="K170" s="8"/>
      <c r="L170" s="8" t="str">
        <f t="shared" si="10"/>
        <v/>
      </c>
      <c r="M170" s="8" t="str">
        <f t="shared" si="11"/>
        <v/>
      </c>
      <c r="N170" s="5"/>
      <c r="O170" s="5"/>
      <c r="P170" s="5"/>
      <c r="Q170" s="6"/>
    </row>
    <row r="171" spans="1:17" x14ac:dyDescent="0.45">
      <c r="A171" s="5"/>
      <c r="B171" s="6"/>
      <c r="C171" s="6"/>
      <c r="D171" s="5"/>
      <c r="E171" s="5"/>
      <c r="F171" s="5"/>
      <c r="G171" s="5"/>
      <c r="H171" s="5"/>
      <c r="I171" s="7"/>
      <c r="J171" s="7"/>
      <c r="K171" s="8"/>
      <c r="L171" s="8" t="str">
        <f t="shared" si="10"/>
        <v/>
      </c>
      <c r="M171" s="8" t="str">
        <f t="shared" si="11"/>
        <v/>
      </c>
      <c r="N171" s="5"/>
      <c r="O171" s="5"/>
      <c r="P171" s="5"/>
      <c r="Q171" s="6"/>
    </row>
    <row r="172" spans="1:17" x14ac:dyDescent="0.45">
      <c r="A172" s="5"/>
      <c r="B172" s="6"/>
      <c r="C172" s="6"/>
      <c r="D172" s="5"/>
      <c r="E172" s="5"/>
      <c r="F172" s="5"/>
      <c r="G172" s="5"/>
      <c r="H172" s="5"/>
      <c r="I172" s="7"/>
      <c r="J172" s="7"/>
      <c r="K172" s="8"/>
      <c r="L172" s="8" t="str">
        <f t="shared" si="10"/>
        <v/>
      </c>
      <c r="M172" s="8" t="str">
        <f t="shared" si="11"/>
        <v/>
      </c>
      <c r="N172" s="5"/>
      <c r="O172" s="5"/>
      <c r="P172" s="5"/>
      <c r="Q172" s="6"/>
    </row>
    <row r="173" spans="1:17" x14ac:dyDescent="0.45">
      <c r="A173" s="5"/>
      <c r="B173" s="6"/>
      <c r="C173" s="6"/>
      <c r="D173" s="5"/>
      <c r="E173" s="5"/>
      <c r="F173" s="5"/>
      <c r="G173" s="5"/>
      <c r="H173" s="5"/>
      <c r="I173" s="7"/>
      <c r="J173" s="7"/>
      <c r="K173" s="8"/>
      <c r="L173" s="8" t="str">
        <f t="shared" si="10"/>
        <v/>
      </c>
      <c r="M173" s="8" t="str">
        <f t="shared" si="11"/>
        <v/>
      </c>
      <c r="N173" s="5"/>
      <c r="O173" s="5"/>
      <c r="P173" s="5"/>
      <c r="Q173" s="6"/>
    </row>
    <row r="174" spans="1:17" x14ac:dyDescent="0.45">
      <c r="A174" s="5"/>
      <c r="B174" s="6"/>
      <c r="C174" s="6"/>
      <c r="D174" s="5"/>
      <c r="E174" s="5"/>
      <c r="F174" s="5"/>
      <c r="G174" s="5"/>
      <c r="H174" s="5"/>
      <c r="I174" s="7"/>
      <c r="J174" s="7"/>
      <c r="K174" s="8"/>
      <c r="L174" s="8" t="str">
        <f t="shared" si="10"/>
        <v/>
      </c>
      <c r="M174" s="8" t="str">
        <f t="shared" si="11"/>
        <v/>
      </c>
      <c r="N174" s="5"/>
      <c r="O174" s="5"/>
      <c r="P174" s="5"/>
      <c r="Q174" s="6"/>
    </row>
    <row r="175" spans="1:17" x14ac:dyDescent="0.45">
      <c r="A175" s="5"/>
      <c r="B175" s="6"/>
      <c r="C175" s="6"/>
      <c r="D175" s="5"/>
      <c r="E175" s="5"/>
      <c r="F175" s="5"/>
      <c r="G175" s="5"/>
      <c r="H175" s="5"/>
      <c r="I175" s="7"/>
      <c r="J175" s="7"/>
      <c r="K175" s="8"/>
      <c r="L175" s="8" t="str">
        <f t="shared" ref="L175:L201" si="12">IF(AND(I175&lt;&gt;"",K175&lt;&gt;""),I175*K175,"")</f>
        <v/>
      </c>
      <c r="M175" s="8" t="str">
        <f t="shared" ref="M175:M201" si="13">IF(AND(J175&lt;&gt;"",K175&lt;&gt;""),J175*K175,"")</f>
        <v/>
      </c>
      <c r="N175" s="5"/>
      <c r="O175" s="5"/>
      <c r="P175" s="5"/>
      <c r="Q175" s="6"/>
    </row>
    <row r="176" spans="1:17" x14ac:dyDescent="0.45">
      <c r="A176" s="5"/>
      <c r="B176" s="6"/>
      <c r="C176" s="6"/>
      <c r="D176" s="5"/>
      <c r="E176" s="5"/>
      <c r="F176" s="5"/>
      <c r="G176" s="5"/>
      <c r="H176" s="5"/>
      <c r="I176" s="7"/>
      <c r="J176" s="7"/>
      <c r="K176" s="8"/>
      <c r="L176" s="8" t="str">
        <f t="shared" si="12"/>
        <v/>
      </c>
      <c r="M176" s="8" t="str">
        <f t="shared" si="13"/>
        <v/>
      </c>
      <c r="N176" s="5"/>
      <c r="O176" s="5"/>
      <c r="P176" s="5"/>
      <c r="Q176" s="6"/>
    </row>
    <row r="177" spans="1:17" x14ac:dyDescent="0.45">
      <c r="A177" s="5"/>
      <c r="B177" s="6"/>
      <c r="C177" s="6"/>
      <c r="D177" s="5"/>
      <c r="E177" s="5"/>
      <c r="F177" s="5"/>
      <c r="G177" s="5"/>
      <c r="H177" s="5"/>
      <c r="I177" s="7"/>
      <c r="J177" s="7"/>
      <c r="K177" s="8"/>
      <c r="L177" s="8" t="str">
        <f t="shared" si="12"/>
        <v/>
      </c>
      <c r="M177" s="8" t="str">
        <f t="shared" si="13"/>
        <v/>
      </c>
      <c r="N177" s="5"/>
      <c r="O177" s="5"/>
      <c r="P177" s="5"/>
      <c r="Q177" s="6"/>
    </row>
    <row r="178" spans="1:17" x14ac:dyDescent="0.45">
      <c r="A178" s="5"/>
      <c r="B178" s="6"/>
      <c r="C178" s="6"/>
      <c r="D178" s="5"/>
      <c r="E178" s="5"/>
      <c r="F178" s="5"/>
      <c r="G178" s="5"/>
      <c r="H178" s="5"/>
      <c r="I178" s="7"/>
      <c r="J178" s="7"/>
      <c r="K178" s="8"/>
      <c r="L178" s="8" t="str">
        <f t="shared" si="12"/>
        <v/>
      </c>
      <c r="M178" s="8" t="str">
        <f t="shared" si="13"/>
        <v/>
      </c>
      <c r="N178" s="5"/>
      <c r="O178" s="5"/>
      <c r="P178" s="5"/>
      <c r="Q178" s="6"/>
    </row>
    <row r="179" spans="1:17" x14ac:dyDescent="0.45">
      <c r="A179" s="5"/>
      <c r="B179" s="6"/>
      <c r="C179" s="6"/>
      <c r="D179" s="5"/>
      <c r="E179" s="5"/>
      <c r="F179" s="5"/>
      <c r="G179" s="5"/>
      <c r="H179" s="5"/>
      <c r="I179" s="7"/>
      <c r="J179" s="7"/>
      <c r="K179" s="8"/>
      <c r="L179" s="8" t="str">
        <f t="shared" si="12"/>
        <v/>
      </c>
      <c r="M179" s="8" t="str">
        <f t="shared" si="13"/>
        <v/>
      </c>
      <c r="N179" s="5"/>
      <c r="O179" s="5"/>
      <c r="P179" s="5"/>
      <c r="Q179" s="6"/>
    </row>
    <row r="180" spans="1:17" x14ac:dyDescent="0.45">
      <c r="A180" s="5"/>
      <c r="B180" s="6"/>
      <c r="C180" s="6"/>
      <c r="D180" s="5"/>
      <c r="E180" s="5"/>
      <c r="F180" s="5"/>
      <c r="G180" s="5"/>
      <c r="H180" s="5"/>
      <c r="I180" s="7"/>
      <c r="J180" s="7"/>
      <c r="K180" s="8"/>
      <c r="L180" s="8" t="str">
        <f t="shared" si="12"/>
        <v/>
      </c>
      <c r="M180" s="8" t="str">
        <f t="shared" si="13"/>
        <v/>
      </c>
      <c r="N180" s="5"/>
      <c r="O180" s="5"/>
      <c r="P180" s="5"/>
      <c r="Q180" s="6"/>
    </row>
    <row r="181" spans="1:17" x14ac:dyDescent="0.45">
      <c r="A181" s="5"/>
      <c r="B181" s="6"/>
      <c r="C181" s="6"/>
      <c r="D181" s="5"/>
      <c r="E181" s="5"/>
      <c r="F181" s="5"/>
      <c r="G181" s="5"/>
      <c r="H181" s="5"/>
      <c r="I181" s="7"/>
      <c r="J181" s="7"/>
      <c r="K181" s="8"/>
      <c r="L181" s="8" t="str">
        <f t="shared" si="12"/>
        <v/>
      </c>
      <c r="M181" s="8" t="str">
        <f t="shared" si="13"/>
        <v/>
      </c>
      <c r="N181" s="5"/>
      <c r="O181" s="5"/>
      <c r="P181" s="5"/>
      <c r="Q181" s="6"/>
    </row>
    <row r="182" spans="1:17" x14ac:dyDescent="0.45">
      <c r="A182" s="5"/>
      <c r="B182" s="6"/>
      <c r="C182" s="6"/>
      <c r="D182" s="5"/>
      <c r="E182" s="5"/>
      <c r="F182" s="5"/>
      <c r="G182" s="5"/>
      <c r="H182" s="5"/>
      <c r="I182" s="7"/>
      <c r="J182" s="7"/>
      <c r="K182" s="8"/>
      <c r="L182" s="8" t="str">
        <f t="shared" si="12"/>
        <v/>
      </c>
      <c r="M182" s="8" t="str">
        <f t="shared" si="13"/>
        <v/>
      </c>
      <c r="N182" s="5"/>
      <c r="O182" s="5"/>
      <c r="P182" s="5"/>
      <c r="Q182" s="6"/>
    </row>
    <row r="183" spans="1:17" x14ac:dyDescent="0.45">
      <c r="A183" s="5"/>
      <c r="B183" s="6"/>
      <c r="C183" s="6"/>
      <c r="D183" s="5"/>
      <c r="E183" s="5"/>
      <c r="F183" s="5"/>
      <c r="G183" s="5"/>
      <c r="H183" s="5"/>
      <c r="I183" s="7"/>
      <c r="J183" s="7"/>
      <c r="K183" s="8"/>
      <c r="L183" s="8" t="str">
        <f t="shared" si="12"/>
        <v/>
      </c>
      <c r="M183" s="8" t="str">
        <f t="shared" si="13"/>
        <v/>
      </c>
      <c r="N183" s="5"/>
      <c r="O183" s="5"/>
      <c r="P183" s="5"/>
      <c r="Q183" s="6"/>
    </row>
    <row r="184" spans="1:17" x14ac:dyDescent="0.45">
      <c r="A184" s="5"/>
      <c r="B184" s="6"/>
      <c r="C184" s="6"/>
      <c r="D184" s="5"/>
      <c r="E184" s="5"/>
      <c r="F184" s="5"/>
      <c r="G184" s="5"/>
      <c r="H184" s="5"/>
      <c r="I184" s="7"/>
      <c r="J184" s="7"/>
      <c r="K184" s="8"/>
      <c r="L184" s="8" t="str">
        <f t="shared" si="12"/>
        <v/>
      </c>
      <c r="M184" s="8" t="str">
        <f t="shared" si="13"/>
        <v/>
      </c>
      <c r="N184" s="5"/>
      <c r="O184" s="5"/>
      <c r="P184" s="5"/>
      <c r="Q184" s="6"/>
    </row>
    <row r="185" spans="1:17" x14ac:dyDescent="0.45">
      <c r="A185" s="5"/>
      <c r="B185" s="6"/>
      <c r="C185" s="6"/>
      <c r="D185" s="5"/>
      <c r="E185" s="5"/>
      <c r="F185" s="5"/>
      <c r="G185" s="5"/>
      <c r="H185" s="5"/>
      <c r="I185" s="7"/>
      <c r="J185" s="7"/>
      <c r="K185" s="8"/>
      <c r="L185" s="8" t="str">
        <f t="shared" si="12"/>
        <v/>
      </c>
      <c r="M185" s="8" t="str">
        <f t="shared" si="13"/>
        <v/>
      </c>
      <c r="N185" s="5"/>
      <c r="O185" s="5"/>
      <c r="P185" s="5"/>
      <c r="Q185" s="6"/>
    </row>
    <row r="186" spans="1:17" x14ac:dyDescent="0.45">
      <c r="A186" s="5"/>
      <c r="B186" s="6"/>
      <c r="C186" s="6"/>
      <c r="D186" s="5"/>
      <c r="E186" s="5"/>
      <c r="F186" s="5"/>
      <c r="G186" s="5"/>
      <c r="H186" s="5"/>
      <c r="I186" s="7"/>
      <c r="J186" s="7"/>
      <c r="K186" s="8"/>
      <c r="L186" s="8" t="str">
        <f t="shared" si="12"/>
        <v/>
      </c>
      <c r="M186" s="8" t="str">
        <f t="shared" si="13"/>
        <v/>
      </c>
      <c r="N186" s="5"/>
      <c r="O186" s="5"/>
      <c r="P186" s="5"/>
      <c r="Q186" s="6"/>
    </row>
    <row r="187" spans="1:17" x14ac:dyDescent="0.45">
      <c r="A187" s="5"/>
      <c r="B187" s="6"/>
      <c r="C187" s="6"/>
      <c r="D187" s="5"/>
      <c r="E187" s="5"/>
      <c r="F187" s="5"/>
      <c r="G187" s="5"/>
      <c r="H187" s="5"/>
      <c r="I187" s="7"/>
      <c r="J187" s="7"/>
      <c r="K187" s="8"/>
      <c r="L187" s="8" t="str">
        <f t="shared" si="12"/>
        <v/>
      </c>
      <c r="M187" s="8" t="str">
        <f t="shared" si="13"/>
        <v/>
      </c>
      <c r="N187" s="5"/>
      <c r="O187" s="5"/>
      <c r="P187" s="5"/>
      <c r="Q187" s="6"/>
    </row>
    <row r="188" spans="1:17" x14ac:dyDescent="0.45">
      <c r="A188" s="5"/>
      <c r="B188" s="6"/>
      <c r="C188" s="6"/>
      <c r="D188" s="5"/>
      <c r="E188" s="5"/>
      <c r="F188" s="5"/>
      <c r="G188" s="5"/>
      <c r="H188" s="5"/>
      <c r="I188" s="7"/>
      <c r="J188" s="7"/>
      <c r="K188" s="8"/>
      <c r="L188" s="8" t="str">
        <f t="shared" si="12"/>
        <v/>
      </c>
      <c r="M188" s="8" t="str">
        <f t="shared" si="13"/>
        <v/>
      </c>
      <c r="N188" s="5"/>
      <c r="O188" s="5"/>
      <c r="P188" s="5"/>
      <c r="Q188" s="6"/>
    </row>
    <row r="189" spans="1:17" x14ac:dyDescent="0.45">
      <c r="A189" s="5"/>
      <c r="B189" s="6"/>
      <c r="C189" s="6"/>
      <c r="D189" s="5"/>
      <c r="E189" s="5"/>
      <c r="F189" s="5"/>
      <c r="G189" s="5"/>
      <c r="H189" s="5"/>
      <c r="I189" s="7"/>
      <c r="J189" s="7"/>
      <c r="K189" s="8"/>
      <c r="L189" s="8" t="str">
        <f t="shared" si="12"/>
        <v/>
      </c>
      <c r="M189" s="8" t="str">
        <f t="shared" si="13"/>
        <v/>
      </c>
      <c r="N189" s="5"/>
      <c r="O189" s="5"/>
      <c r="P189" s="5"/>
      <c r="Q189" s="6"/>
    </row>
    <row r="190" spans="1:17" x14ac:dyDescent="0.45">
      <c r="A190" s="5"/>
      <c r="B190" s="6"/>
      <c r="C190" s="6"/>
      <c r="D190" s="5"/>
      <c r="E190" s="5"/>
      <c r="F190" s="5"/>
      <c r="G190" s="5"/>
      <c r="H190" s="5"/>
      <c r="I190" s="7"/>
      <c r="J190" s="7"/>
      <c r="K190" s="8"/>
      <c r="L190" s="8" t="str">
        <f t="shared" si="12"/>
        <v/>
      </c>
      <c r="M190" s="8" t="str">
        <f t="shared" si="13"/>
        <v/>
      </c>
      <c r="N190" s="5"/>
      <c r="O190" s="5"/>
      <c r="P190" s="5"/>
      <c r="Q190" s="6"/>
    </row>
    <row r="191" spans="1:17" x14ac:dyDescent="0.45">
      <c r="A191" s="5"/>
      <c r="B191" s="6"/>
      <c r="C191" s="6"/>
      <c r="D191" s="5"/>
      <c r="E191" s="5"/>
      <c r="F191" s="5"/>
      <c r="G191" s="5"/>
      <c r="H191" s="5"/>
      <c r="I191" s="7"/>
      <c r="J191" s="7"/>
      <c r="K191" s="8"/>
      <c r="L191" s="8" t="str">
        <f t="shared" si="12"/>
        <v/>
      </c>
      <c r="M191" s="8" t="str">
        <f t="shared" si="13"/>
        <v/>
      </c>
      <c r="N191" s="5"/>
      <c r="O191" s="5"/>
      <c r="P191" s="5"/>
      <c r="Q191" s="6"/>
    </row>
    <row r="192" spans="1:17" x14ac:dyDescent="0.45">
      <c r="A192" s="5"/>
      <c r="B192" s="6"/>
      <c r="C192" s="6"/>
      <c r="D192" s="5"/>
      <c r="E192" s="5"/>
      <c r="F192" s="5"/>
      <c r="G192" s="5"/>
      <c r="H192" s="5"/>
      <c r="I192" s="7"/>
      <c r="J192" s="7"/>
      <c r="K192" s="8"/>
      <c r="L192" s="8" t="str">
        <f t="shared" si="12"/>
        <v/>
      </c>
      <c r="M192" s="8" t="str">
        <f t="shared" si="13"/>
        <v/>
      </c>
      <c r="N192" s="5"/>
      <c r="O192" s="5"/>
      <c r="P192" s="5"/>
      <c r="Q192" s="6"/>
    </row>
    <row r="193" spans="1:17" x14ac:dyDescent="0.45">
      <c r="A193" s="5"/>
      <c r="B193" s="6"/>
      <c r="C193" s="6"/>
      <c r="D193" s="5"/>
      <c r="E193" s="5"/>
      <c r="F193" s="5"/>
      <c r="G193" s="5"/>
      <c r="H193" s="5"/>
      <c r="I193" s="7"/>
      <c r="J193" s="7"/>
      <c r="K193" s="8"/>
      <c r="L193" s="8" t="str">
        <f t="shared" si="12"/>
        <v/>
      </c>
      <c r="M193" s="8" t="str">
        <f t="shared" si="13"/>
        <v/>
      </c>
      <c r="N193" s="5"/>
      <c r="O193" s="5"/>
      <c r="P193" s="5"/>
      <c r="Q193" s="6"/>
    </row>
    <row r="194" spans="1:17" x14ac:dyDescent="0.45">
      <c r="A194" s="5"/>
      <c r="B194" s="6"/>
      <c r="C194" s="6"/>
      <c r="D194" s="5"/>
      <c r="E194" s="5"/>
      <c r="F194" s="5"/>
      <c r="G194" s="5"/>
      <c r="H194" s="5"/>
      <c r="I194" s="7"/>
      <c r="J194" s="7"/>
      <c r="K194" s="8"/>
      <c r="L194" s="8" t="str">
        <f t="shared" si="12"/>
        <v/>
      </c>
      <c r="M194" s="8" t="str">
        <f t="shared" si="13"/>
        <v/>
      </c>
      <c r="N194" s="5"/>
      <c r="O194" s="5"/>
      <c r="P194" s="5"/>
      <c r="Q194" s="6"/>
    </row>
    <row r="195" spans="1:17" x14ac:dyDescent="0.45">
      <c r="A195" s="5"/>
      <c r="B195" s="6"/>
      <c r="C195" s="6"/>
      <c r="D195" s="5"/>
      <c r="E195" s="5"/>
      <c r="F195" s="5"/>
      <c r="G195" s="5"/>
      <c r="H195" s="5"/>
      <c r="I195" s="7"/>
      <c r="J195" s="7"/>
      <c r="K195" s="8"/>
      <c r="L195" s="8" t="str">
        <f t="shared" si="12"/>
        <v/>
      </c>
      <c r="M195" s="8" t="str">
        <f t="shared" si="13"/>
        <v/>
      </c>
      <c r="N195" s="5"/>
      <c r="O195" s="5"/>
      <c r="P195" s="5"/>
      <c r="Q195" s="6"/>
    </row>
    <row r="196" spans="1:17" x14ac:dyDescent="0.45">
      <c r="A196" s="5"/>
      <c r="B196" s="6"/>
      <c r="C196" s="6"/>
      <c r="D196" s="5"/>
      <c r="E196" s="5"/>
      <c r="F196" s="5"/>
      <c r="G196" s="5"/>
      <c r="H196" s="5"/>
      <c r="I196" s="7"/>
      <c r="J196" s="7"/>
      <c r="K196" s="8"/>
      <c r="L196" s="8" t="str">
        <f t="shared" si="12"/>
        <v/>
      </c>
      <c r="M196" s="8" t="str">
        <f t="shared" si="13"/>
        <v/>
      </c>
      <c r="N196" s="5"/>
      <c r="O196" s="5"/>
      <c r="P196" s="5"/>
      <c r="Q196" s="6"/>
    </row>
    <row r="197" spans="1:17" x14ac:dyDescent="0.45">
      <c r="A197" s="5"/>
      <c r="B197" s="6"/>
      <c r="C197" s="6"/>
      <c r="D197" s="5"/>
      <c r="E197" s="5"/>
      <c r="F197" s="5"/>
      <c r="G197" s="5"/>
      <c r="H197" s="5"/>
      <c r="I197" s="7"/>
      <c r="J197" s="7"/>
      <c r="K197" s="8"/>
      <c r="L197" s="8" t="str">
        <f t="shared" si="12"/>
        <v/>
      </c>
      <c r="M197" s="8" t="str">
        <f t="shared" si="13"/>
        <v/>
      </c>
      <c r="N197" s="5"/>
      <c r="O197" s="5"/>
      <c r="P197" s="5"/>
      <c r="Q197" s="6"/>
    </row>
    <row r="198" spans="1:17" x14ac:dyDescent="0.45">
      <c r="A198" s="5"/>
      <c r="B198" s="6"/>
      <c r="C198" s="6"/>
      <c r="D198" s="5"/>
      <c r="E198" s="5"/>
      <c r="F198" s="5"/>
      <c r="G198" s="5"/>
      <c r="H198" s="5"/>
      <c r="I198" s="7"/>
      <c r="J198" s="7"/>
      <c r="K198" s="8"/>
      <c r="L198" s="8" t="str">
        <f t="shared" si="12"/>
        <v/>
      </c>
      <c r="M198" s="8" t="str">
        <f t="shared" si="13"/>
        <v/>
      </c>
      <c r="N198" s="5"/>
      <c r="O198" s="5"/>
      <c r="P198" s="5"/>
      <c r="Q198" s="6"/>
    </row>
    <row r="199" spans="1:17" x14ac:dyDescent="0.45">
      <c r="A199" s="5"/>
      <c r="B199" s="6"/>
      <c r="C199" s="6"/>
      <c r="D199" s="5"/>
      <c r="E199" s="5"/>
      <c r="F199" s="5"/>
      <c r="G199" s="5"/>
      <c r="H199" s="5"/>
      <c r="I199" s="7"/>
      <c r="J199" s="7"/>
      <c r="K199" s="8"/>
      <c r="L199" s="8" t="str">
        <f t="shared" si="12"/>
        <v/>
      </c>
      <c r="M199" s="8" t="str">
        <f t="shared" si="13"/>
        <v/>
      </c>
      <c r="N199" s="5"/>
      <c r="O199" s="5"/>
      <c r="P199" s="5"/>
      <c r="Q199" s="6"/>
    </row>
    <row r="200" spans="1:17" x14ac:dyDescent="0.45">
      <c r="A200" s="5"/>
      <c r="B200" s="6"/>
      <c r="C200" s="6"/>
      <c r="D200" s="5"/>
      <c r="E200" s="5"/>
      <c r="F200" s="5"/>
      <c r="G200" s="5"/>
      <c r="H200" s="5"/>
      <c r="I200" s="7"/>
      <c r="J200" s="7"/>
      <c r="K200" s="8"/>
      <c r="L200" s="8" t="str">
        <f t="shared" si="12"/>
        <v/>
      </c>
      <c r="M200" s="8" t="str">
        <f t="shared" si="13"/>
        <v/>
      </c>
      <c r="N200" s="5"/>
      <c r="O200" s="5"/>
      <c r="P200" s="5"/>
      <c r="Q200" s="6"/>
    </row>
    <row r="201" spans="1:17" x14ac:dyDescent="0.45">
      <c r="A201" s="5"/>
      <c r="B201" s="6"/>
      <c r="C201" s="6"/>
      <c r="D201" s="5"/>
      <c r="E201" s="5"/>
      <c r="F201" s="5"/>
      <c r="G201" s="5"/>
      <c r="H201" s="5"/>
      <c r="I201" s="7"/>
      <c r="J201" s="7"/>
      <c r="K201" s="8"/>
      <c r="L201" s="8" t="str">
        <f t="shared" si="12"/>
        <v/>
      </c>
      <c r="M201" s="8" t="str">
        <f t="shared" si="13"/>
        <v/>
      </c>
      <c r="N201" s="5"/>
      <c r="O201" s="5"/>
      <c r="P201" s="5"/>
      <c r="Q201" s="6"/>
    </row>
    <row r="202" spans="1:17" x14ac:dyDescent="0.45">
      <c r="A202" s="9" t="s">
        <v>70</v>
      </c>
      <c r="I202" s="10">
        <f>SUM(I2:I201)</f>
        <v>0</v>
      </c>
      <c r="J202" s="10">
        <f>SUM(J2:J201)</f>
        <v>0</v>
      </c>
      <c r="L202" s="11">
        <f>SUM(L2:L201)</f>
        <v>0</v>
      </c>
      <c r="M202" s="11">
        <f>SUM(M2:M201)</f>
        <v>0</v>
      </c>
    </row>
    <row r="204" spans="1:17" x14ac:dyDescent="0.45">
      <c r="A204" s="12" t="s">
        <v>71</v>
      </c>
    </row>
    <row r="205" spans="1:17" x14ac:dyDescent="0.45">
      <c r="A205" s="13" t="s">
        <v>72</v>
      </c>
    </row>
    <row r="206" spans="1:17" x14ac:dyDescent="0.45">
      <c r="A206" s="13" t="s">
        <v>73</v>
      </c>
    </row>
    <row r="207" spans="1:17" x14ac:dyDescent="0.45">
      <c r="A207" s="13" t="s">
        <v>74</v>
      </c>
    </row>
    <row r="208" spans="1:17" x14ac:dyDescent="0.45">
      <c r="A208" s="13" t="s">
        <v>75</v>
      </c>
    </row>
  </sheetData>
  <autoFilter ref="A1:Q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8"/>
  <sheetViews>
    <sheetView zoomScaleNormal="100" workbookViewId="0">
      <pane ySplit="1" topLeftCell="A2" activePane="bottomLeft" state="frozen"/>
      <selection pane="bottomLeft" activeCell="L38" sqref="L38"/>
    </sheetView>
  </sheetViews>
  <sheetFormatPr defaultColWidth="4.68359375" defaultRowHeight="11.7" x14ac:dyDescent="0.45"/>
  <cols>
    <col min="1" max="1" width="8" style="14" customWidth="1"/>
    <col min="2" max="2" width="36.26171875" style="15" customWidth="1"/>
    <col min="3" max="3" width="66.47265625" style="16" customWidth="1"/>
    <col min="4" max="4" width="9" style="14" customWidth="1"/>
    <col min="5" max="5" width="9.41796875" style="14" customWidth="1"/>
    <col min="6" max="6" width="9" style="14" customWidth="1"/>
    <col min="7" max="7" width="15.47265625" style="14" customWidth="1"/>
    <col min="8" max="8" width="12.578125" style="14" customWidth="1"/>
    <col min="9" max="9" width="11.7890625" style="14" customWidth="1"/>
    <col min="10" max="10" width="10.83984375" style="14" customWidth="1"/>
    <col min="11" max="11" width="10.3125" style="14" customWidth="1"/>
    <col min="12" max="12" width="16" style="14" customWidth="1"/>
    <col min="13" max="13" width="14.9453125" style="14" customWidth="1"/>
    <col min="14" max="14" width="11.3671875" style="14" customWidth="1"/>
    <col min="15" max="15" width="14.7890625" style="14" customWidth="1"/>
    <col min="16" max="16" width="11.3671875" style="14" customWidth="1"/>
    <col min="17" max="17" width="107.7890625" style="16" customWidth="1"/>
    <col min="18" max="16384" width="4.68359375" style="14"/>
  </cols>
  <sheetData>
    <row r="1" spans="1:17" ht="23.25" customHeight="1" x14ac:dyDescent="0.45">
      <c r="A1" s="17" t="s">
        <v>0</v>
      </c>
      <c r="B1" s="18" t="s">
        <v>76</v>
      </c>
      <c r="C1" s="18" t="s">
        <v>2</v>
      </c>
      <c r="D1" s="17" t="s">
        <v>3</v>
      </c>
      <c r="E1" s="17" t="s">
        <v>4</v>
      </c>
      <c r="F1" s="17" t="s">
        <v>5</v>
      </c>
      <c r="G1" s="17" t="s">
        <v>6</v>
      </c>
      <c r="H1" s="17" t="s">
        <v>7</v>
      </c>
      <c r="I1" s="17" t="s">
        <v>8</v>
      </c>
      <c r="J1" s="17" t="s">
        <v>9</v>
      </c>
      <c r="K1" s="17" t="s">
        <v>10</v>
      </c>
      <c r="L1" s="17" t="s">
        <v>11</v>
      </c>
      <c r="M1" s="17" t="s">
        <v>12</v>
      </c>
      <c r="N1" s="17" t="s">
        <v>13</v>
      </c>
      <c r="O1" s="17" t="s">
        <v>14</v>
      </c>
      <c r="P1" s="17" t="s">
        <v>15</v>
      </c>
      <c r="Q1" s="18" t="s">
        <v>16</v>
      </c>
    </row>
    <row r="2" spans="1:17" x14ac:dyDescent="0.45">
      <c r="A2" s="19" t="s">
        <v>77</v>
      </c>
      <c r="B2" s="20" t="s">
        <v>78</v>
      </c>
      <c r="C2" s="20" t="s">
        <v>79</v>
      </c>
      <c r="D2" s="19" t="s">
        <v>20</v>
      </c>
      <c r="E2" s="19" t="s">
        <v>21</v>
      </c>
      <c r="F2" s="19" t="s">
        <v>22</v>
      </c>
      <c r="G2" s="19" t="s">
        <v>25</v>
      </c>
      <c r="H2" s="19"/>
      <c r="I2" s="21"/>
      <c r="J2" s="21"/>
      <c r="K2" s="22"/>
      <c r="L2" s="22" t="str">
        <f t="shared" ref="L2:L33" si="0">IF(AND(I2&lt;&gt;"",K2&lt;&gt;""),I2*K2,"")</f>
        <v/>
      </c>
      <c r="M2" s="22" t="str">
        <f t="shared" ref="M2:M33" si="1">IF(AND(J2&lt;&gt;"",K2&lt;&gt;""),J2*K2,"")</f>
        <v/>
      </c>
      <c r="N2" s="19"/>
      <c r="O2" s="19"/>
      <c r="P2" s="19"/>
      <c r="Q2" s="20" t="s">
        <v>80</v>
      </c>
    </row>
    <row r="3" spans="1:17" x14ac:dyDescent="0.45">
      <c r="A3" s="19" t="s">
        <v>81</v>
      </c>
      <c r="B3" s="20" t="s">
        <v>82</v>
      </c>
      <c r="C3" s="20" t="s">
        <v>83</v>
      </c>
      <c r="D3" s="19" t="s">
        <v>20</v>
      </c>
      <c r="E3" s="19" t="s">
        <v>21</v>
      </c>
      <c r="F3" s="19" t="s">
        <v>22</v>
      </c>
      <c r="G3" s="19" t="s">
        <v>25</v>
      </c>
      <c r="H3" s="19"/>
      <c r="I3" s="21"/>
      <c r="J3" s="21"/>
      <c r="K3" s="22"/>
      <c r="L3" s="22" t="str">
        <f t="shared" si="0"/>
        <v/>
      </c>
      <c r="M3" s="22" t="str">
        <f t="shared" si="1"/>
        <v/>
      </c>
      <c r="N3" s="19"/>
      <c r="O3" s="19"/>
      <c r="P3" s="19"/>
      <c r="Q3" s="20" t="s">
        <v>84</v>
      </c>
    </row>
    <row r="4" spans="1:17" x14ac:dyDescent="0.45">
      <c r="A4" s="19" t="s">
        <v>85</v>
      </c>
      <c r="B4" s="20" t="s">
        <v>86</v>
      </c>
      <c r="C4" s="20" t="s">
        <v>87</v>
      </c>
      <c r="D4" s="19" t="s">
        <v>20</v>
      </c>
      <c r="E4" s="19" t="s">
        <v>21</v>
      </c>
      <c r="F4" s="19" t="s">
        <v>22</v>
      </c>
      <c r="G4" s="19" t="s">
        <v>25</v>
      </c>
      <c r="H4" s="19"/>
      <c r="I4" s="21"/>
      <c r="J4" s="21"/>
      <c r="K4" s="22"/>
      <c r="L4" s="22" t="str">
        <f t="shared" si="0"/>
        <v/>
      </c>
      <c r="M4" s="22" t="str">
        <f t="shared" si="1"/>
        <v/>
      </c>
      <c r="N4" s="19"/>
      <c r="O4" s="19"/>
      <c r="P4" s="19"/>
      <c r="Q4" s="20" t="s">
        <v>88</v>
      </c>
    </row>
    <row r="5" spans="1:17" x14ac:dyDescent="0.45">
      <c r="A5" s="19" t="s">
        <v>89</v>
      </c>
      <c r="B5" s="20" t="s">
        <v>90</v>
      </c>
      <c r="C5" s="20" t="s">
        <v>91</v>
      </c>
      <c r="D5" s="19" t="s">
        <v>20</v>
      </c>
      <c r="E5" s="19" t="s">
        <v>21</v>
      </c>
      <c r="F5" s="19" t="s">
        <v>22</v>
      </c>
      <c r="G5" s="19" t="s">
        <v>25</v>
      </c>
      <c r="H5" s="19"/>
      <c r="I5" s="21"/>
      <c r="J5" s="21"/>
      <c r="K5" s="22"/>
      <c r="L5" s="22" t="str">
        <f t="shared" si="0"/>
        <v/>
      </c>
      <c r="M5" s="22" t="str">
        <f t="shared" si="1"/>
        <v/>
      </c>
      <c r="N5" s="19"/>
      <c r="O5" s="19"/>
      <c r="P5" s="19"/>
      <c r="Q5" s="20" t="s">
        <v>92</v>
      </c>
    </row>
    <row r="6" spans="1:17" x14ac:dyDescent="0.45">
      <c r="A6" s="19" t="s">
        <v>93</v>
      </c>
      <c r="B6" s="20" t="s">
        <v>94</v>
      </c>
      <c r="C6" s="20" t="s">
        <v>95</v>
      </c>
      <c r="D6" s="19" t="s">
        <v>20</v>
      </c>
      <c r="E6" s="19" t="s">
        <v>96</v>
      </c>
      <c r="F6" s="19" t="s">
        <v>97</v>
      </c>
      <c r="G6" s="19" t="s">
        <v>25</v>
      </c>
      <c r="H6" s="19"/>
      <c r="I6" s="21"/>
      <c r="J6" s="21"/>
      <c r="K6" s="22"/>
      <c r="L6" s="22" t="str">
        <f t="shared" si="0"/>
        <v/>
      </c>
      <c r="M6" s="22" t="str">
        <f t="shared" si="1"/>
        <v/>
      </c>
      <c r="N6" s="19"/>
      <c r="O6" s="19"/>
      <c r="P6" s="19"/>
      <c r="Q6" s="20" t="s">
        <v>98</v>
      </c>
    </row>
    <row r="7" spans="1:17" x14ac:dyDescent="0.45">
      <c r="A7" s="19" t="s">
        <v>99</v>
      </c>
      <c r="B7" s="20" t="s">
        <v>100</v>
      </c>
      <c r="C7" s="20" t="s">
        <v>101</v>
      </c>
      <c r="D7" s="19" t="s">
        <v>20</v>
      </c>
      <c r="E7" s="19" t="s">
        <v>96</v>
      </c>
      <c r="F7" s="19" t="s">
        <v>97</v>
      </c>
      <c r="G7" s="19" t="s">
        <v>25</v>
      </c>
      <c r="H7" s="19"/>
      <c r="I7" s="21"/>
      <c r="J7" s="21"/>
      <c r="K7" s="22"/>
      <c r="L7" s="22" t="str">
        <f t="shared" si="0"/>
        <v/>
      </c>
      <c r="M7" s="22" t="str">
        <f t="shared" si="1"/>
        <v/>
      </c>
      <c r="N7" s="19"/>
      <c r="O7" s="19"/>
      <c r="P7" s="19"/>
      <c r="Q7" s="20" t="s">
        <v>102</v>
      </c>
    </row>
    <row r="8" spans="1:17" x14ac:dyDescent="0.45">
      <c r="A8" s="19" t="s">
        <v>103</v>
      </c>
      <c r="B8" s="20" t="s">
        <v>104</v>
      </c>
      <c r="C8" s="20" t="s">
        <v>105</v>
      </c>
      <c r="D8" s="19" t="s">
        <v>20</v>
      </c>
      <c r="E8" s="19" t="s">
        <v>56</v>
      </c>
      <c r="F8" s="19" t="s">
        <v>97</v>
      </c>
      <c r="G8" s="19" t="s">
        <v>25</v>
      </c>
      <c r="H8" s="19"/>
      <c r="I8" s="21"/>
      <c r="J8" s="21"/>
      <c r="K8" s="22"/>
      <c r="L8" s="22" t="str">
        <f t="shared" si="0"/>
        <v/>
      </c>
      <c r="M8" s="22" t="str">
        <f t="shared" si="1"/>
        <v/>
      </c>
      <c r="N8" s="19"/>
      <c r="O8" s="19"/>
      <c r="P8" s="19"/>
      <c r="Q8" s="20" t="s">
        <v>106</v>
      </c>
    </row>
    <row r="9" spans="1:17" x14ac:dyDescent="0.45">
      <c r="A9" s="19" t="s">
        <v>107</v>
      </c>
      <c r="B9" s="20" t="s">
        <v>108</v>
      </c>
      <c r="C9" s="20" t="s">
        <v>109</v>
      </c>
      <c r="D9" s="19" t="s">
        <v>110</v>
      </c>
      <c r="E9" s="19" t="s">
        <v>21</v>
      </c>
      <c r="F9" s="19" t="s">
        <v>22</v>
      </c>
      <c r="G9" s="19" t="s">
        <v>25</v>
      </c>
      <c r="H9" s="19"/>
      <c r="I9" s="21"/>
      <c r="J9" s="21"/>
      <c r="K9" s="22"/>
      <c r="L9" s="22" t="str">
        <f t="shared" si="0"/>
        <v/>
      </c>
      <c r="M9" s="22" t="str">
        <f t="shared" si="1"/>
        <v/>
      </c>
      <c r="N9" s="19"/>
      <c r="O9" s="19"/>
      <c r="P9" s="19"/>
      <c r="Q9" s="20" t="s">
        <v>111</v>
      </c>
    </row>
    <row r="10" spans="1:17" x14ac:dyDescent="0.45">
      <c r="A10" s="19" t="s">
        <v>112</v>
      </c>
      <c r="B10" s="20" t="s">
        <v>113</v>
      </c>
      <c r="C10" s="20" t="s">
        <v>114</v>
      </c>
      <c r="D10" s="19" t="s">
        <v>20</v>
      </c>
      <c r="E10" s="19" t="s">
        <v>21</v>
      </c>
      <c r="F10" s="19" t="s">
        <v>22</v>
      </c>
      <c r="G10" s="19" t="s">
        <v>25</v>
      </c>
      <c r="H10" s="19"/>
      <c r="I10" s="21"/>
      <c r="J10" s="21"/>
      <c r="K10" s="22"/>
      <c r="L10" s="22" t="str">
        <f t="shared" si="0"/>
        <v/>
      </c>
      <c r="M10" s="22" t="str">
        <f t="shared" si="1"/>
        <v/>
      </c>
      <c r="N10" s="19"/>
      <c r="O10" s="19"/>
      <c r="P10" s="19"/>
      <c r="Q10" s="20" t="s">
        <v>115</v>
      </c>
    </row>
    <row r="11" spans="1:17" x14ac:dyDescent="0.45">
      <c r="A11" s="19" t="s">
        <v>116</v>
      </c>
      <c r="B11" s="20" t="s">
        <v>117</v>
      </c>
      <c r="C11" s="20" t="s">
        <v>118</v>
      </c>
      <c r="D11" s="19" t="s">
        <v>20</v>
      </c>
      <c r="E11" s="19" t="s">
        <v>21</v>
      </c>
      <c r="F11" s="19" t="s">
        <v>22</v>
      </c>
      <c r="G11" s="19" t="s">
        <v>25</v>
      </c>
      <c r="H11" s="19"/>
      <c r="I11" s="21"/>
      <c r="J11" s="21"/>
      <c r="K11" s="22"/>
      <c r="L11" s="22" t="str">
        <f t="shared" si="0"/>
        <v/>
      </c>
      <c r="M11" s="22" t="str">
        <f t="shared" si="1"/>
        <v/>
      </c>
      <c r="N11" s="19"/>
      <c r="O11" s="19"/>
      <c r="P11" s="19"/>
      <c r="Q11" s="20" t="s">
        <v>119</v>
      </c>
    </row>
    <row r="12" spans="1:17" x14ac:dyDescent="0.45">
      <c r="A12" s="19" t="s">
        <v>120</v>
      </c>
      <c r="B12" s="20" t="s">
        <v>121</v>
      </c>
      <c r="C12" s="20" t="s">
        <v>122</v>
      </c>
      <c r="D12" s="19" t="s">
        <v>20</v>
      </c>
      <c r="E12" s="19" t="s">
        <v>21</v>
      </c>
      <c r="F12" s="19" t="s">
        <v>22</v>
      </c>
      <c r="G12" s="19" t="s">
        <v>25</v>
      </c>
      <c r="H12" s="19"/>
      <c r="I12" s="21"/>
      <c r="J12" s="21"/>
      <c r="K12" s="22"/>
      <c r="L12" s="22" t="str">
        <f t="shared" si="0"/>
        <v/>
      </c>
      <c r="M12" s="22" t="str">
        <f t="shared" si="1"/>
        <v/>
      </c>
      <c r="N12" s="19"/>
      <c r="O12" s="19"/>
      <c r="P12" s="19"/>
      <c r="Q12" s="20" t="s">
        <v>123</v>
      </c>
    </row>
    <row r="13" spans="1:17" ht="23.25" customHeight="1" x14ac:dyDescent="0.45">
      <c r="A13" s="19" t="s">
        <v>124</v>
      </c>
      <c r="B13" s="20" t="s">
        <v>125</v>
      </c>
      <c r="C13" s="20" t="s">
        <v>126</v>
      </c>
      <c r="D13" s="19" t="s">
        <v>20</v>
      </c>
      <c r="E13" s="19" t="s">
        <v>21</v>
      </c>
      <c r="F13" s="19" t="s">
        <v>22</v>
      </c>
      <c r="G13" s="19" t="s">
        <v>25</v>
      </c>
      <c r="H13" s="19"/>
      <c r="I13" s="21"/>
      <c r="J13" s="21"/>
      <c r="K13" s="22"/>
      <c r="L13" s="22" t="str">
        <f t="shared" si="0"/>
        <v/>
      </c>
      <c r="M13" s="22" t="str">
        <f t="shared" si="1"/>
        <v/>
      </c>
      <c r="N13" s="19"/>
      <c r="O13" s="19"/>
      <c r="P13" s="19"/>
      <c r="Q13" s="20" t="s">
        <v>127</v>
      </c>
    </row>
    <row r="14" spans="1:17" x14ac:dyDescent="0.45">
      <c r="A14" s="19" t="s">
        <v>128</v>
      </c>
      <c r="B14" s="20" t="s">
        <v>129</v>
      </c>
      <c r="C14" s="20" t="s">
        <v>130</v>
      </c>
      <c r="D14" s="19" t="s">
        <v>20</v>
      </c>
      <c r="E14" s="19" t="s">
        <v>21</v>
      </c>
      <c r="F14" s="19" t="s">
        <v>22</v>
      </c>
      <c r="G14" s="19" t="s">
        <v>25</v>
      </c>
      <c r="H14" s="19"/>
      <c r="I14" s="21"/>
      <c r="J14" s="21"/>
      <c r="K14" s="22"/>
      <c r="L14" s="22" t="str">
        <f t="shared" si="0"/>
        <v/>
      </c>
      <c r="M14" s="22" t="str">
        <f t="shared" si="1"/>
        <v/>
      </c>
      <c r="N14" s="19"/>
      <c r="O14" s="19"/>
      <c r="P14" s="19"/>
      <c r="Q14" s="20" t="s">
        <v>131</v>
      </c>
    </row>
    <row r="15" spans="1:17" x14ac:dyDescent="0.45">
      <c r="A15" s="19" t="s">
        <v>132</v>
      </c>
      <c r="B15" s="20" t="s">
        <v>133</v>
      </c>
      <c r="C15" s="20" t="s">
        <v>134</v>
      </c>
      <c r="D15" s="19" t="s">
        <v>20</v>
      </c>
      <c r="E15" s="19" t="s">
        <v>96</v>
      </c>
      <c r="F15" s="19" t="s">
        <v>97</v>
      </c>
      <c r="G15" s="19" t="s">
        <v>25</v>
      </c>
      <c r="H15" s="19"/>
      <c r="I15" s="21"/>
      <c r="J15" s="21"/>
      <c r="K15" s="22"/>
      <c r="L15" s="22" t="str">
        <f t="shared" si="0"/>
        <v/>
      </c>
      <c r="M15" s="22" t="str">
        <f t="shared" si="1"/>
        <v/>
      </c>
      <c r="N15" s="19"/>
      <c r="O15" s="19"/>
      <c r="P15" s="19"/>
      <c r="Q15" s="20" t="s">
        <v>135</v>
      </c>
    </row>
    <row r="16" spans="1:17" x14ac:dyDescent="0.45">
      <c r="A16" s="19" t="s">
        <v>136</v>
      </c>
      <c r="B16" s="20" t="s">
        <v>137</v>
      </c>
      <c r="C16" s="20" t="s">
        <v>138</v>
      </c>
      <c r="D16" s="19" t="s">
        <v>20</v>
      </c>
      <c r="E16" s="19" t="s">
        <v>96</v>
      </c>
      <c r="F16" s="19" t="s">
        <v>97</v>
      </c>
      <c r="G16" s="19" t="s">
        <v>25</v>
      </c>
      <c r="H16" s="19"/>
      <c r="I16" s="21"/>
      <c r="J16" s="21"/>
      <c r="K16" s="22"/>
      <c r="L16" s="22" t="str">
        <f t="shared" si="0"/>
        <v/>
      </c>
      <c r="M16" s="22" t="str">
        <f t="shared" si="1"/>
        <v/>
      </c>
      <c r="N16" s="19"/>
      <c r="O16" s="19"/>
      <c r="P16" s="19"/>
      <c r="Q16" s="20" t="s">
        <v>139</v>
      </c>
    </row>
    <row r="17" spans="1:17" x14ac:dyDescent="0.45">
      <c r="A17" s="19" t="s">
        <v>140</v>
      </c>
      <c r="B17" s="20" t="s">
        <v>141</v>
      </c>
      <c r="C17" s="20" t="s">
        <v>142</v>
      </c>
      <c r="D17" s="19" t="s">
        <v>20</v>
      </c>
      <c r="E17" s="19" t="s">
        <v>96</v>
      </c>
      <c r="F17" s="19" t="s">
        <v>97</v>
      </c>
      <c r="G17" s="19" t="s">
        <v>25</v>
      </c>
      <c r="H17" s="19"/>
      <c r="I17" s="21"/>
      <c r="J17" s="21"/>
      <c r="K17" s="22"/>
      <c r="L17" s="22" t="str">
        <f t="shared" si="0"/>
        <v/>
      </c>
      <c r="M17" s="22" t="str">
        <f t="shared" si="1"/>
        <v/>
      </c>
      <c r="N17" s="19"/>
      <c r="O17" s="19"/>
      <c r="P17" s="19"/>
      <c r="Q17" s="20" t="s">
        <v>143</v>
      </c>
    </row>
    <row r="18" spans="1:17" x14ac:dyDescent="0.45">
      <c r="A18" s="19" t="s">
        <v>144</v>
      </c>
      <c r="B18" s="20" t="s">
        <v>145</v>
      </c>
      <c r="C18" s="20" t="s">
        <v>146</v>
      </c>
      <c r="D18" s="19" t="s">
        <v>20</v>
      </c>
      <c r="E18" s="19" t="s">
        <v>96</v>
      </c>
      <c r="F18" s="19" t="s">
        <v>97</v>
      </c>
      <c r="G18" s="19" t="s">
        <v>25</v>
      </c>
      <c r="H18" s="19"/>
      <c r="I18" s="21"/>
      <c r="J18" s="21"/>
      <c r="K18" s="22"/>
      <c r="L18" s="22" t="str">
        <f t="shared" si="0"/>
        <v/>
      </c>
      <c r="M18" s="22" t="str">
        <f t="shared" si="1"/>
        <v/>
      </c>
      <c r="N18" s="19"/>
      <c r="O18" s="19"/>
      <c r="P18" s="19"/>
      <c r="Q18" s="20" t="s">
        <v>147</v>
      </c>
    </row>
    <row r="19" spans="1:17" x14ac:dyDescent="0.45">
      <c r="A19" s="19" t="s">
        <v>148</v>
      </c>
      <c r="B19" s="20" t="s">
        <v>149</v>
      </c>
      <c r="C19" s="20" t="s">
        <v>150</v>
      </c>
      <c r="D19" s="19" t="s">
        <v>20</v>
      </c>
      <c r="E19" s="19" t="s">
        <v>96</v>
      </c>
      <c r="F19" s="19" t="s">
        <v>97</v>
      </c>
      <c r="G19" s="19" t="s">
        <v>25</v>
      </c>
      <c r="H19" s="19"/>
      <c r="I19" s="21"/>
      <c r="J19" s="21"/>
      <c r="K19" s="22"/>
      <c r="L19" s="22" t="str">
        <f t="shared" si="0"/>
        <v/>
      </c>
      <c r="M19" s="22" t="str">
        <f t="shared" si="1"/>
        <v/>
      </c>
      <c r="N19" s="19"/>
      <c r="O19" s="19"/>
      <c r="P19" s="19"/>
      <c r="Q19" s="20" t="s">
        <v>151</v>
      </c>
    </row>
    <row r="20" spans="1:17" x14ac:dyDescent="0.45">
      <c r="A20" s="19" t="s">
        <v>152</v>
      </c>
      <c r="B20" s="20" t="s">
        <v>153</v>
      </c>
      <c r="C20" s="20" t="s">
        <v>154</v>
      </c>
      <c r="D20" s="19" t="s">
        <v>155</v>
      </c>
      <c r="E20" s="19" t="s">
        <v>96</v>
      </c>
      <c r="F20" s="19" t="s">
        <v>156</v>
      </c>
      <c r="G20" s="19" t="s">
        <v>25</v>
      </c>
      <c r="H20" s="19"/>
      <c r="I20" s="21"/>
      <c r="J20" s="21"/>
      <c r="K20" s="22"/>
      <c r="L20" s="22" t="str">
        <f t="shared" si="0"/>
        <v/>
      </c>
      <c r="M20" s="22" t="str">
        <f t="shared" si="1"/>
        <v/>
      </c>
      <c r="N20" s="19"/>
      <c r="O20" s="19"/>
      <c r="P20" s="19"/>
      <c r="Q20" s="20" t="s">
        <v>157</v>
      </c>
    </row>
    <row r="21" spans="1:17" x14ac:dyDescent="0.45">
      <c r="A21" s="19" t="s">
        <v>158</v>
      </c>
      <c r="B21" s="20" t="s">
        <v>159</v>
      </c>
      <c r="C21" s="20" t="s">
        <v>160</v>
      </c>
      <c r="D21" s="19" t="s">
        <v>20</v>
      </c>
      <c r="E21" s="19" t="s">
        <v>21</v>
      </c>
      <c r="F21" s="19" t="s">
        <v>156</v>
      </c>
      <c r="G21" s="19" t="s">
        <v>25</v>
      </c>
      <c r="H21" s="19"/>
      <c r="I21" s="21"/>
      <c r="J21" s="21"/>
      <c r="K21" s="22"/>
      <c r="L21" s="22" t="str">
        <f t="shared" si="0"/>
        <v/>
      </c>
      <c r="M21" s="22" t="str">
        <f t="shared" si="1"/>
        <v/>
      </c>
      <c r="N21" s="19"/>
      <c r="O21" s="19"/>
      <c r="P21" s="19"/>
      <c r="Q21" s="20" t="s">
        <v>161</v>
      </c>
    </row>
    <row r="22" spans="1:17" x14ac:dyDescent="0.45">
      <c r="A22" s="19" t="s">
        <v>162</v>
      </c>
      <c r="B22" s="20" t="s">
        <v>163</v>
      </c>
      <c r="C22" s="20" t="s">
        <v>164</v>
      </c>
      <c r="D22" s="19" t="s">
        <v>20</v>
      </c>
      <c r="E22" s="19" t="s">
        <v>96</v>
      </c>
      <c r="F22" s="19" t="s">
        <v>97</v>
      </c>
      <c r="G22" s="19" t="s">
        <v>25</v>
      </c>
      <c r="H22" s="19"/>
      <c r="I22" s="21"/>
      <c r="J22" s="21"/>
      <c r="K22" s="22"/>
      <c r="L22" s="22" t="str">
        <f t="shared" si="0"/>
        <v/>
      </c>
      <c r="M22" s="22" t="str">
        <f t="shared" si="1"/>
        <v/>
      </c>
      <c r="N22" s="19"/>
      <c r="O22" s="19"/>
      <c r="P22" s="19"/>
      <c r="Q22" s="20" t="s">
        <v>165</v>
      </c>
    </row>
    <row r="23" spans="1:17" x14ac:dyDescent="0.45">
      <c r="A23" s="19" t="s">
        <v>166</v>
      </c>
      <c r="B23" s="20" t="s">
        <v>167</v>
      </c>
      <c r="C23" s="20" t="s">
        <v>168</v>
      </c>
      <c r="D23" s="19" t="s">
        <v>155</v>
      </c>
      <c r="E23" s="19" t="s">
        <v>21</v>
      </c>
      <c r="F23" s="19" t="s">
        <v>22</v>
      </c>
      <c r="G23" s="19" t="s">
        <v>25</v>
      </c>
      <c r="H23" s="19"/>
      <c r="I23" s="21"/>
      <c r="J23" s="21"/>
      <c r="K23" s="22"/>
      <c r="L23" s="22" t="str">
        <f t="shared" si="0"/>
        <v/>
      </c>
      <c r="M23" s="22" t="str">
        <f t="shared" si="1"/>
        <v/>
      </c>
      <c r="N23" s="19"/>
      <c r="O23" s="19"/>
      <c r="P23" s="19"/>
      <c r="Q23" s="20" t="s">
        <v>169</v>
      </c>
    </row>
    <row r="24" spans="1:17" x14ac:dyDescent="0.45">
      <c r="A24" s="19" t="s">
        <v>170</v>
      </c>
      <c r="B24" s="20" t="s">
        <v>171</v>
      </c>
      <c r="C24" s="20" t="s">
        <v>172</v>
      </c>
      <c r="D24" s="19" t="s">
        <v>20</v>
      </c>
      <c r="E24" s="19" t="s">
        <v>56</v>
      </c>
      <c r="F24" s="19" t="s">
        <v>22</v>
      </c>
      <c r="G24" s="19" t="s">
        <v>25</v>
      </c>
      <c r="H24" s="19"/>
      <c r="I24" s="21"/>
      <c r="J24" s="21"/>
      <c r="K24" s="22"/>
      <c r="L24" s="22" t="str">
        <f t="shared" si="0"/>
        <v/>
      </c>
      <c r="M24" s="22" t="str">
        <f t="shared" si="1"/>
        <v/>
      </c>
      <c r="N24" s="19"/>
      <c r="O24" s="19"/>
      <c r="P24" s="19"/>
      <c r="Q24" s="20" t="s">
        <v>173</v>
      </c>
    </row>
    <row r="25" spans="1:17" x14ac:dyDescent="0.45">
      <c r="A25" s="19" t="s">
        <v>174</v>
      </c>
      <c r="B25" s="20" t="s">
        <v>175</v>
      </c>
      <c r="C25" s="20" t="s">
        <v>176</v>
      </c>
      <c r="D25" s="19" t="s">
        <v>155</v>
      </c>
      <c r="E25" s="19" t="s">
        <v>56</v>
      </c>
      <c r="F25" s="19" t="s">
        <v>22</v>
      </c>
      <c r="G25" s="19" t="s">
        <v>25</v>
      </c>
      <c r="H25" s="19"/>
      <c r="I25" s="21"/>
      <c r="J25" s="21"/>
      <c r="K25" s="22"/>
      <c r="L25" s="22" t="str">
        <f t="shared" si="0"/>
        <v/>
      </c>
      <c r="M25" s="22" t="str">
        <f t="shared" si="1"/>
        <v/>
      </c>
      <c r="N25" s="19"/>
      <c r="O25" s="19"/>
      <c r="P25" s="19"/>
      <c r="Q25" s="20" t="s">
        <v>177</v>
      </c>
    </row>
    <row r="26" spans="1:17" x14ac:dyDescent="0.45">
      <c r="A26" s="19" t="s">
        <v>178</v>
      </c>
      <c r="B26" s="20" t="s">
        <v>179</v>
      </c>
      <c r="C26" s="20" t="s">
        <v>180</v>
      </c>
      <c r="D26" s="19" t="s">
        <v>155</v>
      </c>
      <c r="E26" s="19" t="s">
        <v>56</v>
      </c>
      <c r="F26" s="19" t="s">
        <v>22</v>
      </c>
      <c r="G26" s="19" t="s">
        <v>25</v>
      </c>
      <c r="H26" s="19"/>
      <c r="I26" s="21"/>
      <c r="J26" s="21"/>
      <c r="K26" s="22"/>
      <c r="L26" s="22" t="str">
        <f t="shared" si="0"/>
        <v/>
      </c>
      <c r="M26" s="22" t="str">
        <f t="shared" si="1"/>
        <v/>
      </c>
      <c r="N26" s="19"/>
      <c r="O26" s="19"/>
      <c r="P26" s="19"/>
      <c r="Q26" s="20" t="s">
        <v>181</v>
      </c>
    </row>
    <row r="27" spans="1:17" x14ac:dyDescent="0.45">
      <c r="A27" s="19" t="s">
        <v>182</v>
      </c>
      <c r="B27" s="20" t="s">
        <v>183</v>
      </c>
      <c r="C27" s="20" t="s">
        <v>184</v>
      </c>
      <c r="D27" s="19" t="s">
        <v>155</v>
      </c>
      <c r="E27" s="19" t="s">
        <v>56</v>
      </c>
      <c r="F27" s="19" t="s">
        <v>22</v>
      </c>
      <c r="G27" s="19" t="s">
        <v>25</v>
      </c>
      <c r="H27" s="19"/>
      <c r="I27" s="21"/>
      <c r="J27" s="21"/>
      <c r="K27" s="22"/>
      <c r="L27" s="22" t="str">
        <f t="shared" si="0"/>
        <v/>
      </c>
      <c r="M27" s="22" t="str">
        <f t="shared" si="1"/>
        <v/>
      </c>
      <c r="N27" s="19"/>
      <c r="O27" s="19"/>
      <c r="P27" s="19"/>
      <c r="Q27" s="20" t="s">
        <v>185</v>
      </c>
    </row>
    <row r="28" spans="1:17" x14ac:dyDescent="0.45">
      <c r="A28" s="19" t="s">
        <v>186</v>
      </c>
      <c r="B28" s="20" t="s">
        <v>187</v>
      </c>
      <c r="C28" s="20" t="s">
        <v>188</v>
      </c>
      <c r="D28" s="19" t="s">
        <v>155</v>
      </c>
      <c r="E28" s="19" t="s">
        <v>56</v>
      </c>
      <c r="F28" s="19" t="s">
        <v>22</v>
      </c>
      <c r="G28" s="19" t="s">
        <v>25</v>
      </c>
      <c r="H28" s="19"/>
      <c r="I28" s="21"/>
      <c r="J28" s="21"/>
      <c r="K28" s="22"/>
      <c r="L28" s="22" t="str">
        <f t="shared" si="0"/>
        <v/>
      </c>
      <c r="M28" s="22" t="str">
        <f t="shared" si="1"/>
        <v/>
      </c>
      <c r="N28" s="19"/>
      <c r="O28" s="19"/>
      <c r="P28" s="19"/>
      <c r="Q28" s="20" t="s">
        <v>189</v>
      </c>
    </row>
    <row r="29" spans="1:17" x14ac:dyDescent="0.45">
      <c r="A29" s="19" t="s">
        <v>190</v>
      </c>
      <c r="B29" s="20" t="s">
        <v>191</v>
      </c>
      <c r="C29" s="20" t="s">
        <v>192</v>
      </c>
      <c r="D29" s="19" t="s">
        <v>155</v>
      </c>
      <c r="E29" s="19" t="s">
        <v>56</v>
      </c>
      <c r="F29" s="19" t="s">
        <v>22</v>
      </c>
      <c r="G29" s="19" t="s">
        <v>25</v>
      </c>
      <c r="H29" s="19"/>
      <c r="I29" s="21"/>
      <c r="J29" s="21"/>
      <c r="K29" s="22"/>
      <c r="L29" s="22" t="str">
        <f t="shared" si="0"/>
        <v/>
      </c>
      <c r="M29" s="22" t="str">
        <f t="shared" si="1"/>
        <v/>
      </c>
      <c r="N29" s="19"/>
      <c r="O29" s="19"/>
      <c r="P29" s="19"/>
      <c r="Q29" s="20" t="s">
        <v>193</v>
      </c>
    </row>
    <row r="30" spans="1:17" x14ac:dyDescent="0.45">
      <c r="A30" s="19" t="s">
        <v>194</v>
      </c>
      <c r="B30" s="20" t="s">
        <v>195</v>
      </c>
      <c r="C30" s="20" t="s">
        <v>196</v>
      </c>
      <c r="D30" s="19" t="s">
        <v>155</v>
      </c>
      <c r="E30" s="19" t="s">
        <v>56</v>
      </c>
      <c r="F30" s="19" t="s">
        <v>22</v>
      </c>
      <c r="G30" s="19" t="s">
        <v>25</v>
      </c>
      <c r="H30" s="19"/>
      <c r="I30" s="21"/>
      <c r="J30" s="21"/>
      <c r="K30" s="22"/>
      <c r="L30" s="22" t="str">
        <f t="shared" si="0"/>
        <v/>
      </c>
      <c r="M30" s="22" t="str">
        <f t="shared" si="1"/>
        <v/>
      </c>
      <c r="N30" s="19"/>
      <c r="O30" s="19"/>
      <c r="P30" s="19"/>
      <c r="Q30" s="20" t="s">
        <v>197</v>
      </c>
    </row>
    <row r="31" spans="1:17" x14ac:dyDescent="0.45">
      <c r="A31" s="19" t="s">
        <v>198</v>
      </c>
      <c r="B31" s="20" t="s">
        <v>199</v>
      </c>
      <c r="C31" s="20" t="s">
        <v>200</v>
      </c>
      <c r="D31" s="19" t="s">
        <v>20</v>
      </c>
      <c r="E31" s="19" t="s">
        <v>56</v>
      </c>
      <c r="F31" s="19" t="s">
        <v>22</v>
      </c>
      <c r="G31" s="19" t="s">
        <v>25</v>
      </c>
      <c r="H31" s="19"/>
      <c r="I31" s="21"/>
      <c r="J31" s="21"/>
      <c r="K31" s="22"/>
      <c r="L31" s="22" t="str">
        <f t="shared" si="0"/>
        <v/>
      </c>
      <c r="M31" s="22" t="str">
        <f t="shared" si="1"/>
        <v/>
      </c>
      <c r="N31" s="19"/>
      <c r="O31" s="19"/>
      <c r="P31" s="19"/>
      <c r="Q31" s="20" t="s">
        <v>201</v>
      </c>
    </row>
    <row r="32" spans="1:17" x14ac:dyDescent="0.45">
      <c r="A32" s="19" t="s">
        <v>202</v>
      </c>
      <c r="B32" s="20" t="s">
        <v>203</v>
      </c>
      <c r="C32" s="20" t="s">
        <v>204</v>
      </c>
      <c r="D32" s="19" t="s">
        <v>155</v>
      </c>
      <c r="E32" s="19" t="s">
        <v>56</v>
      </c>
      <c r="F32" s="19" t="s">
        <v>22</v>
      </c>
      <c r="G32" s="19" t="s">
        <v>25</v>
      </c>
      <c r="H32" s="19"/>
      <c r="I32" s="21"/>
      <c r="J32" s="21"/>
      <c r="K32" s="22"/>
      <c r="L32" s="22" t="str">
        <f t="shared" si="0"/>
        <v/>
      </c>
      <c r="M32" s="22" t="str">
        <f t="shared" si="1"/>
        <v/>
      </c>
      <c r="N32" s="19"/>
      <c r="O32" s="19"/>
      <c r="P32" s="19"/>
      <c r="Q32" s="20" t="s">
        <v>205</v>
      </c>
    </row>
    <row r="33" spans="1:17" x14ac:dyDescent="0.45">
      <c r="A33" s="19" t="s">
        <v>206</v>
      </c>
      <c r="B33" s="20" t="s">
        <v>207</v>
      </c>
      <c r="C33" s="20" t="s">
        <v>208</v>
      </c>
      <c r="D33" s="19" t="s">
        <v>155</v>
      </c>
      <c r="E33" s="19" t="s">
        <v>56</v>
      </c>
      <c r="F33" s="19" t="s">
        <v>22</v>
      </c>
      <c r="G33" s="19" t="s">
        <v>25</v>
      </c>
      <c r="H33" s="19"/>
      <c r="I33" s="21"/>
      <c r="J33" s="21"/>
      <c r="K33" s="22"/>
      <c r="L33" s="22" t="str">
        <f t="shared" si="0"/>
        <v/>
      </c>
      <c r="M33" s="22" t="str">
        <f t="shared" si="1"/>
        <v/>
      </c>
      <c r="N33" s="19"/>
      <c r="O33" s="19"/>
      <c r="P33" s="19"/>
      <c r="Q33" s="20" t="s">
        <v>209</v>
      </c>
    </row>
    <row r="34" spans="1:17" x14ac:dyDescent="0.45">
      <c r="A34" s="19" t="s">
        <v>210</v>
      </c>
      <c r="B34" s="20" t="s">
        <v>211</v>
      </c>
      <c r="C34" s="20" t="s">
        <v>212</v>
      </c>
      <c r="D34" s="19" t="s">
        <v>110</v>
      </c>
      <c r="E34" s="19" t="s">
        <v>21</v>
      </c>
      <c r="F34" s="19" t="s">
        <v>22</v>
      </c>
      <c r="G34" s="19" t="s">
        <v>25</v>
      </c>
      <c r="H34" s="19"/>
      <c r="I34" s="21"/>
      <c r="J34" s="21"/>
      <c r="K34" s="22"/>
      <c r="L34" s="22" t="str">
        <f t="shared" ref="L34:L65" si="2">IF(AND(I34&lt;&gt;"",K34&lt;&gt;""),I34*K34,"")</f>
        <v/>
      </c>
      <c r="M34" s="22" t="str">
        <f t="shared" ref="M34:M65" si="3">IF(AND(J34&lt;&gt;"",K34&lt;&gt;""),J34*K34,"")</f>
        <v/>
      </c>
      <c r="N34" s="19"/>
      <c r="O34" s="19"/>
      <c r="P34" s="19"/>
      <c r="Q34" s="20" t="s">
        <v>213</v>
      </c>
    </row>
    <row r="35" spans="1:17" ht="23.25" customHeight="1" x14ac:dyDescent="0.45">
      <c r="A35" s="19" t="s">
        <v>214</v>
      </c>
      <c r="B35" s="20" t="s">
        <v>215</v>
      </c>
      <c r="C35" s="20" t="s">
        <v>216</v>
      </c>
      <c r="D35" s="19" t="s">
        <v>155</v>
      </c>
      <c r="E35" s="19" t="s">
        <v>21</v>
      </c>
      <c r="F35" s="19" t="s">
        <v>22</v>
      </c>
      <c r="G35" s="19" t="s">
        <v>25</v>
      </c>
      <c r="H35" s="19"/>
      <c r="I35" s="21"/>
      <c r="J35" s="21"/>
      <c r="K35" s="22"/>
      <c r="L35" s="22" t="str">
        <f t="shared" si="2"/>
        <v/>
      </c>
      <c r="M35" s="22" t="str">
        <f t="shared" si="3"/>
        <v/>
      </c>
      <c r="N35" s="19"/>
      <c r="O35" s="19"/>
      <c r="P35" s="19"/>
      <c r="Q35" s="20" t="s">
        <v>217</v>
      </c>
    </row>
    <row r="36" spans="1:17" ht="23.25" customHeight="1" x14ac:dyDescent="0.45">
      <c r="A36" s="19" t="s">
        <v>218</v>
      </c>
      <c r="B36" s="20" t="s">
        <v>219</v>
      </c>
      <c r="C36" s="20" t="s">
        <v>220</v>
      </c>
      <c r="D36" s="19" t="s">
        <v>20</v>
      </c>
      <c r="E36" s="19" t="s">
        <v>21</v>
      </c>
      <c r="F36" s="19" t="s">
        <v>22</v>
      </c>
      <c r="G36" s="19" t="s">
        <v>25</v>
      </c>
      <c r="H36" s="19"/>
      <c r="I36" s="21"/>
      <c r="J36" s="21"/>
      <c r="K36" s="22"/>
      <c r="L36" s="22" t="str">
        <f t="shared" si="2"/>
        <v/>
      </c>
      <c r="M36" s="22" t="str">
        <f t="shared" si="3"/>
        <v/>
      </c>
      <c r="N36" s="19"/>
      <c r="O36" s="19"/>
      <c r="P36" s="19"/>
      <c r="Q36" s="20" t="s">
        <v>221</v>
      </c>
    </row>
    <row r="37" spans="1:17" x14ac:dyDescent="0.45">
      <c r="A37" s="19" t="s">
        <v>222</v>
      </c>
      <c r="B37" s="20" t="s">
        <v>223</v>
      </c>
      <c r="C37" s="20" t="s">
        <v>224</v>
      </c>
      <c r="D37" s="19" t="s">
        <v>20</v>
      </c>
      <c r="E37" s="19" t="s">
        <v>21</v>
      </c>
      <c r="F37" s="19" t="s">
        <v>22</v>
      </c>
      <c r="G37" s="19" t="s">
        <v>25</v>
      </c>
      <c r="H37" s="19"/>
      <c r="I37" s="21"/>
      <c r="J37" s="21"/>
      <c r="K37" s="22"/>
      <c r="L37" s="22" t="str">
        <f t="shared" si="2"/>
        <v/>
      </c>
      <c r="M37" s="22" t="str">
        <f t="shared" si="3"/>
        <v/>
      </c>
      <c r="N37" s="19"/>
      <c r="O37" s="19"/>
      <c r="P37" s="19"/>
      <c r="Q37" s="20" t="s">
        <v>225</v>
      </c>
    </row>
    <row r="38" spans="1:17" ht="23.25" customHeight="1" x14ac:dyDescent="0.45">
      <c r="A38" s="19" t="s">
        <v>226</v>
      </c>
      <c r="B38" s="20" t="s">
        <v>227</v>
      </c>
      <c r="C38" s="20" t="s">
        <v>228</v>
      </c>
      <c r="D38" s="19" t="s">
        <v>20</v>
      </c>
      <c r="E38" s="19" t="s">
        <v>21</v>
      </c>
      <c r="F38" s="19" t="s">
        <v>97</v>
      </c>
      <c r="G38" s="19" t="s">
        <v>229</v>
      </c>
      <c r="H38" s="19" t="s">
        <v>230</v>
      </c>
      <c r="I38" s="21"/>
      <c r="J38" s="21"/>
      <c r="K38" s="22"/>
      <c r="L38" s="22" t="str">
        <f t="shared" si="2"/>
        <v/>
      </c>
      <c r="M38" s="22" t="str">
        <f t="shared" si="3"/>
        <v/>
      </c>
      <c r="N38" s="19"/>
      <c r="O38" s="19"/>
      <c r="P38" s="19"/>
      <c r="Q38" s="20" t="s">
        <v>231</v>
      </c>
    </row>
    <row r="39" spans="1:17" ht="23.25" customHeight="1" x14ac:dyDescent="0.45">
      <c r="A39" s="19" t="s">
        <v>232</v>
      </c>
      <c r="B39" s="20" t="s">
        <v>233</v>
      </c>
      <c r="C39" s="20" t="s">
        <v>234</v>
      </c>
      <c r="D39" s="19" t="s">
        <v>155</v>
      </c>
      <c r="E39" s="19" t="s">
        <v>21</v>
      </c>
      <c r="F39" s="19" t="s">
        <v>97</v>
      </c>
      <c r="G39" s="19" t="s">
        <v>229</v>
      </c>
      <c r="H39" s="19" t="s">
        <v>230</v>
      </c>
      <c r="I39" s="21"/>
      <c r="J39" s="21"/>
      <c r="K39" s="22"/>
      <c r="L39" s="22" t="str">
        <f t="shared" si="2"/>
        <v/>
      </c>
      <c r="M39" s="22" t="str">
        <f t="shared" si="3"/>
        <v/>
      </c>
      <c r="N39" s="19"/>
      <c r="O39" s="19"/>
      <c r="P39" s="19"/>
      <c r="Q39" s="20" t="s">
        <v>235</v>
      </c>
    </row>
    <row r="40" spans="1:17" ht="23.25" customHeight="1" x14ac:dyDescent="0.45">
      <c r="A40" s="19" t="s">
        <v>236</v>
      </c>
      <c r="B40" s="20" t="s">
        <v>237</v>
      </c>
      <c r="C40" s="20" t="s">
        <v>238</v>
      </c>
      <c r="D40" s="19" t="s">
        <v>20</v>
      </c>
      <c r="E40" s="19" t="s">
        <v>21</v>
      </c>
      <c r="F40" s="19" t="s">
        <v>97</v>
      </c>
      <c r="G40" s="19" t="s">
        <v>229</v>
      </c>
      <c r="H40" s="19" t="s">
        <v>230</v>
      </c>
      <c r="I40" s="21"/>
      <c r="J40" s="21"/>
      <c r="K40" s="22"/>
      <c r="L40" s="22" t="str">
        <f t="shared" si="2"/>
        <v/>
      </c>
      <c r="M40" s="22" t="str">
        <f t="shared" si="3"/>
        <v/>
      </c>
      <c r="N40" s="19"/>
      <c r="O40" s="19"/>
      <c r="P40" s="19"/>
      <c r="Q40" s="20" t="s">
        <v>239</v>
      </c>
    </row>
    <row r="41" spans="1:17" ht="23.25" customHeight="1" x14ac:dyDescent="0.45">
      <c r="A41" s="19" t="s">
        <v>240</v>
      </c>
      <c r="B41" s="20" t="s">
        <v>241</v>
      </c>
      <c r="C41" s="20" t="s">
        <v>242</v>
      </c>
      <c r="D41" s="19" t="s">
        <v>155</v>
      </c>
      <c r="E41" s="19" t="s">
        <v>21</v>
      </c>
      <c r="F41" s="19" t="s">
        <v>156</v>
      </c>
      <c r="G41" s="19"/>
      <c r="H41" s="19"/>
      <c r="I41" s="21"/>
      <c r="J41" s="21"/>
      <c r="K41" s="22"/>
      <c r="L41" s="22" t="str">
        <f t="shared" si="2"/>
        <v/>
      </c>
      <c r="M41" s="22" t="str">
        <f t="shared" si="3"/>
        <v/>
      </c>
      <c r="N41" s="19"/>
      <c r="O41" s="19"/>
      <c r="P41" s="19"/>
      <c r="Q41" s="20" t="s">
        <v>243</v>
      </c>
    </row>
    <row r="42" spans="1:17" x14ac:dyDescent="0.45">
      <c r="A42" s="19"/>
      <c r="B42" s="20"/>
      <c r="C42" s="20"/>
      <c r="D42" s="19"/>
      <c r="E42" s="19"/>
      <c r="F42" s="19"/>
      <c r="G42" s="19"/>
      <c r="H42" s="19"/>
      <c r="I42" s="21"/>
      <c r="J42" s="21"/>
      <c r="K42" s="22"/>
      <c r="L42" s="22" t="str">
        <f t="shared" si="2"/>
        <v/>
      </c>
      <c r="M42" s="22" t="str">
        <f t="shared" si="3"/>
        <v/>
      </c>
      <c r="N42" s="19"/>
      <c r="O42" s="19"/>
      <c r="P42" s="19"/>
      <c r="Q42" s="20"/>
    </row>
    <row r="43" spans="1:17" x14ac:dyDescent="0.45">
      <c r="A43" s="19"/>
      <c r="B43" s="20"/>
      <c r="C43" s="20"/>
      <c r="D43" s="19"/>
      <c r="E43" s="19"/>
      <c r="F43" s="19"/>
      <c r="G43" s="19"/>
      <c r="H43" s="19"/>
      <c r="I43" s="21"/>
      <c r="J43" s="21"/>
      <c r="K43" s="22"/>
      <c r="L43" s="22" t="str">
        <f t="shared" si="2"/>
        <v/>
      </c>
      <c r="M43" s="22" t="str">
        <f t="shared" si="3"/>
        <v/>
      </c>
      <c r="N43" s="19"/>
      <c r="O43" s="19"/>
      <c r="P43" s="19"/>
      <c r="Q43" s="20"/>
    </row>
    <row r="44" spans="1:17" x14ac:dyDescent="0.45">
      <c r="A44" s="19"/>
      <c r="B44" s="20"/>
      <c r="C44" s="20"/>
      <c r="D44" s="19"/>
      <c r="E44" s="19"/>
      <c r="F44" s="19"/>
      <c r="G44" s="19"/>
      <c r="H44" s="19"/>
      <c r="I44" s="21"/>
      <c r="J44" s="21"/>
      <c r="K44" s="22"/>
      <c r="L44" s="22" t="str">
        <f t="shared" si="2"/>
        <v/>
      </c>
      <c r="M44" s="22" t="str">
        <f t="shared" si="3"/>
        <v/>
      </c>
      <c r="N44" s="19"/>
      <c r="O44" s="19"/>
      <c r="P44" s="19"/>
      <c r="Q44" s="20"/>
    </row>
    <row r="45" spans="1:17" x14ac:dyDescent="0.45">
      <c r="A45" s="19"/>
      <c r="B45" s="20"/>
      <c r="C45" s="20"/>
      <c r="D45" s="19"/>
      <c r="E45" s="19"/>
      <c r="F45" s="19"/>
      <c r="G45" s="19"/>
      <c r="H45" s="19"/>
      <c r="I45" s="21"/>
      <c r="J45" s="21"/>
      <c r="K45" s="22"/>
      <c r="L45" s="22" t="str">
        <f t="shared" si="2"/>
        <v/>
      </c>
      <c r="M45" s="22" t="str">
        <f t="shared" si="3"/>
        <v/>
      </c>
      <c r="N45" s="19"/>
      <c r="O45" s="19"/>
      <c r="P45" s="19"/>
      <c r="Q45" s="20"/>
    </row>
    <row r="46" spans="1:17" x14ac:dyDescent="0.45">
      <c r="A46" s="19"/>
      <c r="B46" s="20"/>
      <c r="C46" s="20"/>
      <c r="D46" s="19"/>
      <c r="E46" s="19"/>
      <c r="F46" s="19"/>
      <c r="G46" s="19"/>
      <c r="H46" s="19"/>
      <c r="I46" s="21"/>
      <c r="J46" s="21"/>
      <c r="K46" s="22"/>
      <c r="L46" s="22" t="str">
        <f t="shared" si="2"/>
        <v/>
      </c>
      <c r="M46" s="22" t="str">
        <f t="shared" si="3"/>
        <v/>
      </c>
      <c r="N46" s="19"/>
      <c r="O46" s="19"/>
      <c r="P46" s="19"/>
      <c r="Q46" s="20"/>
    </row>
    <row r="47" spans="1:17" x14ac:dyDescent="0.45">
      <c r="A47" s="19"/>
      <c r="B47" s="20"/>
      <c r="C47" s="20"/>
      <c r="D47" s="19"/>
      <c r="E47" s="19"/>
      <c r="F47" s="19"/>
      <c r="G47" s="19"/>
      <c r="H47" s="19"/>
      <c r="I47" s="21"/>
      <c r="J47" s="21"/>
      <c r="K47" s="22"/>
      <c r="L47" s="22" t="str">
        <f t="shared" si="2"/>
        <v/>
      </c>
      <c r="M47" s="22" t="str">
        <f t="shared" si="3"/>
        <v/>
      </c>
      <c r="N47" s="19"/>
      <c r="O47" s="19"/>
      <c r="P47" s="19"/>
      <c r="Q47" s="20"/>
    </row>
    <row r="48" spans="1:17" x14ac:dyDescent="0.45">
      <c r="A48" s="19"/>
      <c r="B48" s="20"/>
      <c r="C48" s="20"/>
      <c r="D48" s="19"/>
      <c r="E48" s="19"/>
      <c r="F48" s="19"/>
      <c r="G48" s="19"/>
      <c r="H48" s="19"/>
      <c r="I48" s="21"/>
      <c r="J48" s="21"/>
      <c r="K48" s="22"/>
      <c r="L48" s="22" t="str">
        <f t="shared" si="2"/>
        <v/>
      </c>
      <c r="M48" s="22" t="str">
        <f t="shared" si="3"/>
        <v/>
      </c>
      <c r="N48" s="19"/>
      <c r="O48" s="19"/>
      <c r="P48" s="19"/>
      <c r="Q48" s="20"/>
    </row>
    <row r="49" spans="1:17" x14ac:dyDescent="0.45">
      <c r="A49" s="19"/>
      <c r="B49" s="20"/>
      <c r="C49" s="20"/>
      <c r="D49" s="19"/>
      <c r="E49" s="19"/>
      <c r="F49" s="19"/>
      <c r="G49" s="19"/>
      <c r="H49" s="19"/>
      <c r="I49" s="21"/>
      <c r="J49" s="21"/>
      <c r="K49" s="22"/>
      <c r="L49" s="22" t="str">
        <f t="shared" si="2"/>
        <v/>
      </c>
      <c r="M49" s="22" t="str">
        <f t="shared" si="3"/>
        <v/>
      </c>
      <c r="N49" s="19"/>
      <c r="O49" s="19"/>
      <c r="P49" s="19"/>
      <c r="Q49" s="20"/>
    </row>
    <row r="50" spans="1:17" x14ac:dyDescent="0.45">
      <c r="A50" s="19"/>
      <c r="B50" s="20"/>
      <c r="C50" s="20"/>
      <c r="D50" s="19"/>
      <c r="E50" s="19"/>
      <c r="F50" s="19"/>
      <c r="G50" s="19"/>
      <c r="H50" s="19"/>
      <c r="I50" s="21"/>
      <c r="J50" s="21"/>
      <c r="K50" s="22"/>
      <c r="L50" s="22" t="str">
        <f t="shared" si="2"/>
        <v/>
      </c>
      <c r="M50" s="22" t="str">
        <f t="shared" si="3"/>
        <v/>
      </c>
      <c r="N50" s="19"/>
      <c r="O50" s="19"/>
      <c r="P50" s="19"/>
      <c r="Q50" s="20"/>
    </row>
    <row r="51" spans="1:17" x14ac:dyDescent="0.45">
      <c r="A51" s="19"/>
      <c r="B51" s="20"/>
      <c r="C51" s="20"/>
      <c r="D51" s="19"/>
      <c r="E51" s="19"/>
      <c r="F51" s="19"/>
      <c r="G51" s="19"/>
      <c r="H51" s="19"/>
      <c r="I51" s="21"/>
      <c r="J51" s="21"/>
      <c r="K51" s="22"/>
      <c r="L51" s="22" t="str">
        <f t="shared" si="2"/>
        <v/>
      </c>
      <c r="M51" s="22" t="str">
        <f t="shared" si="3"/>
        <v/>
      </c>
      <c r="N51" s="19"/>
      <c r="O51" s="19"/>
      <c r="P51" s="19"/>
      <c r="Q51" s="20"/>
    </row>
    <row r="52" spans="1:17" x14ac:dyDescent="0.45">
      <c r="A52" s="19"/>
      <c r="B52" s="20"/>
      <c r="C52" s="20"/>
      <c r="D52" s="19"/>
      <c r="E52" s="19"/>
      <c r="F52" s="19"/>
      <c r="G52" s="19"/>
      <c r="H52" s="19"/>
      <c r="I52" s="21"/>
      <c r="J52" s="21"/>
      <c r="K52" s="22"/>
      <c r="L52" s="22" t="str">
        <f t="shared" si="2"/>
        <v/>
      </c>
      <c r="M52" s="22" t="str">
        <f t="shared" si="3"/>
        <v/>
      </c>
      <c r="N52" s="19"/>
      <c r="O52" s="19"/>
      <c r="P52" s="19"/>
      <c r="Q52" s="20"/>
    </row>
    <row r="53" spans="1:17" x14ac:dyDescent="0.45">
      <c r="A53" s="19"/>
      <c r="B53" s="20"/>
      <c r="C53" s="20"/>
      <c r="D53" s="19"/>
      <c r="E53" s="19"/>
      <c r="F53" s="19"/>
      <c r="G53" s="19"/>
      <c r="H53" s="19"/>
      <c r="I53" s="21"/>
      <c r="J53" s="21"/>
      <c r="K53" s="22"/>
      <c r="L53" s="22" t="str">
        <f t="shared" si="2"/>
        <v/>
      </c>
      <c r="M53" s="22" t="str">
        <f t="shared" si="3"/>
        <v/>
      </c>
      <c r="N53" s="19"/>
      <c r="O53" s="19"/>
      <c r="P53" s="19"/>
      <c r="Q53" s="20"/>
    </row>
    <row r="54" spans="1:17" x14ac:dyDescent="0.45">
      <c r="A54" s="19"/>
      <c r="B54" s="20"/>
      <c r="C54" s="20"/>
      <c r="D54" s="19"/>
      <c r="E54" s="19"/>
      <c r="F54" s="19"/>
      <c r="G54" s="19"/>
      <c r="H54" s="19"/>
      <c r="I54" s="21"/>
      <c r="J54" s="21"/>
      <c r="K54" s="22"/>
      <c r="L54" s="22" t="str">
        <f t="shared" si="2"/>
        <v/>
      </c>
      <c r="M54" s="22" t="str">
        <f t="shared" si="3"/>
        <v/>
      </c>
      <c r="N54" s="19"/>
      <c r="O54" s="19"/>
      <c r="P54" s="19"/>
      <c r="Q54" s="20"/>
    </row>
    <row r="55" spans="1:17" x14ac:dyDescent="0.45">
      <c r="A55" s="19"/>
      <c r="B55" s="20"/>
      <c r="C55" s="20"/>
      <c r="D55" s="19"/>
      <c r="E55" s="19"/>
      <c r="F55" s="19"/>
      <c r="G55" s="19"/>
      <c r="H55" s="19"/>
      <c r="I55" s="21"/>
      <c r="J55" s="21"/>
      <c r="K55" s="22"/>
      <c r="L55" s="22" t="str">
        <f t="shared" si="2"/>
        <v/>
      </c>
      <c r="M55" s="22" t="str">
        <f t="shared" si="3"/>
        <v/>
      </c>
      <c r="N55" s="19"/>
      <c r="O55" s="19"/>
      <c r="P55" s="19"/>
      <c r="Q55" s="20"/>
    </row>
    <row r="56" spans="1:17" x14ac:dyDescent="0.45">
      <c r="A56" s="19"/>
      <c r="B56" s="20"/>
      <c r="C56" s="20"/>
      <c r="D56" s="19"/>
      <c r="E56" s="19"/>
      <c r="F56" s="19"/>
      <c r="G56" s="19"/>
      <c r="H56" s="19"/>
      <c r="I56" s="21"/>
      <c r="J56" s="21"/>
      <c r="K56" s="22"/>
      <c r="L56" s="22" t="str">
        <f t="shared" si="2"/>
        <v/>
      </c>
      <c r="M56" s="22" t="str">
        <f t="shared" si="3"/>
        <v/>
      </c>
      <c r="N56" s="19"/>
      <c r="O56" s="19"/>
      <c r="P56" s="19"/>
      <c r="Q56" s="20"/>
    </row>
    <row r="57" spans="1:17" x14ac:dyDescent="0.45">
      <c r="A57" s="19"/>
      <c r="B57" s="20"/>
      <c r="C57" s="20"/>
      <c r="D57" s="19"/>
      <c r="E57" s="19"/>
      <c r="F57" s="19"/>
      <c r="G57" s="19"/>
      <c r="H57" s="19"/>
      <c r="I57" s="21"/>
      <c r="J57" s="21"/>
      <c r="K57" s="22"/>
      <c r="L57" s="22" t="str">
        <f t="shared" si="2"/>
        <v/>
      </c>
      <c r="M57" s="22" t="str">
        <f t="shared" si="3"/>
        <v/>
      </c>
      <c r="N57" s="19"/>
      <c r="O57" s="19"/>
      <c r="P57" s="19"/>
      <c r="Q57" s="20"/>
    </row>
    <row r="58" spans="1:17" x14ac:dyDescent="0.45">
      <c r="A58" s="19"/>
      <c r="B58" s="20"/>
      <c r="C58" s="20"/>
      <c r="D58" s="19"/>
      <c r="E58" s="19"/>
      <c r="F58" s="19"/>
      <c r="G58" s="19"/>
      <c r="H58" s="19"/>
      <c r="I58" s="21"/>
      <c r="J58" s="21"/>
      <c r="K58" s="22"/>
      <c r="L58" s="22" t="str">
        <f t="shared" si="2"/>
        <v/>
      </c>
      <c r="M58" s="22" t="str">
        <f t="shared" si="3"/>
        <v/>
      </c>
      <c r="N58" s="19"/>
      <c r="O58" s="19"/>
      <c r="P58" s="19"/>
      <c r="Q58" s="20"/>
    </row>
    <row r="59" spans="1:17" x14ac:dyDescent="0.45">
      <c r="A59" s="19"/>
      <c r="B59" s="20"/>
      <c r="C59" s="20"/>
      <c r="D59" s="19"/>
      <c r="E59" s="19"/>
      <c r="F59" s="19"/>
      <c r="G59" s="19"/>
      <c r="H59" s="19"/>
      <c r="I59" s="21"/>
      <c r="J59" s="21"/>
      <c r="K59" s="22"/>
      <c r="L59" s="22" t="str">
        <f t="shared" si="2"/>
        <v/>
      </c>
      <c r="M59" s="22" t="str">
        <f t="shared" si="3"/>
        <v/>
      </c>
      <c r="N59" s="19"/>
      <c r="O59" s="19"/>
      <c r="P59" s="19"/>
      <c r="Q59" s="20"/>
    </row>
    <row r="60" spans="1:17" x14ac:dyDescent="0.45">
      <c r="A60" s="19"/>
      <c r="B60" s="20"/>
      <c r="C60" s="20"/>
      <c r="D60" s="19"/>
      <c r="E60" s="19"/>
      <c r="F60" s="19"/>
      <c r="G60" s="19"/>
      <c r="H60" s="19"/>
      <c r="I60" s="21"/>
      <c r="J60" s="21"/>
      <c r="K60" s="22"/>
      <c r="L60" s="22" t="str">
        <f t="shared" si="2"/>
        <v/>
      </c>
      <c r="M60" s="22" t="str">
        <f t="shared" si="3"/>
        <v/>
      </c>
      <c r="N60" s="19"/>
      <c r="O60" s="19"/>
      <c r="P60" s="19"/>
      <c r="Q60" s="20"/>
    </row>
    <row r="61" spans="1:17" x14ac:dyDescent="0.45">
      <c r="A61" s="19"/>
      <c r="B61" s="20"/>
      <c r="C61" s="20"/>
      <c r="D61" s="19"/>
      <c r="E61" s="19"/>
      <c r="F61" s="19"/>
      <c r="G61" s="19"/>
      <c r="H61" s="19"/>
      <c r="I61" s="21"/>
      <c r="J61" s="21"/>
      <c r="K61" s="22"/>
      <c r="L61" s="22" t="str">
        <f t="shared" si="2"/>
        <v/>
      </c>
      <c r="M61" s="22" t="str">
        <f t="shared" si="3"/>
        <v/>
      </c>
      <c r="N61" s="19"/>
      <c r="O61" s="19"/>
      <c r="P61" s="19"/>
      <c r="Q61" s="20"/>
    </row>
    <row r="62" spans="1:17" x14ac:dyDescent="0.45">
      <c r="A62" s="19"/>
      <c r="B62" s="20"/>
      <c r="C62" s="20"/>
      <c r="D62" s="19"/>
      <c r="E62" s="19"/>
      <c r="F62" s="19"/>
      <c r="G62" s="19"/>
      <c r="H62" s="19"/>
      <c r="I62" s="21"/>
      <c r="J62" s="21"/>
      <c r="K62" s="22"/>
      <c r="L62" s="22" t="str">
        <f t="shared" si="2"/>
        <v/>
      </c>
      <c r="M62" s="22" t="str">
        <f t="shared" si="3"/>
        <v/>
      </c>
      <c r="N62" s="19"/>
      <c r="O62" s="19"/>
      <c r="P62" s="19"/>
      <c r="Q62" s="20"/>
    </row>
    <row r="63" spans="1:17" x14ac:dyDescent="0.45">
      <c r="A63" s="19"/>
      <c r="B63" s="20"/>
      <c r="C63" s="20"/>
      <c r="D63" s="19"/>
      <c r="E63" s="19"/>
      <c r="F63" s="19"/>
      <c r="G63" s="19"/>
      <c r="H63" s="19"/>
      <c r="I63" s="21"/>
      <c r="J63" s="21"/>
      <c r="K63" s="22"/>
      <c r="L63" s="22" t="str">
        <f t="shared" si="2"/>
        <v/>
      </c>
      <c r="M63" s="22" t="str">
        <f t="shared" si="3"/>
        <v/>
      </c>
      <c r="N63" s="19"/>
      <c r="O63" s="19"/>
      <c r="P63" s="19"/>
      <c r="Q63" s="20"/>
    </row>
    <row r="64" spans="1:17" x14ac:dyDescent="0.45">
      <c r="A64" s="19"/>
      <c r="B64" s="20"/>
      <c r="C64" s="20"/>
      <c r="D64" s="19"/>
      <c r="E64" s="19"/>
      <c r="F64" s="19"/>
      <c r="G64" s="19"/>
      <c r="H64" s="19"/>
      <c r="I64" s="21"/>
      <c r="J64" s="21"/>
      <c r="K64" s="22"/>
      <c r="L64" s="22" t="str">
        <f t="shared" si="2"/>
        <v/>
      </c>
      <c r="M64" s="22" t="str">
        <f t="shared" si="3"/>
        <v/>
      </c>
      <c r="N64" s="19"/>
      <c r="O64" s="19"/>
      <c r="P64" s="19"/>
      <c r="Q64" s="20"/>
    </row>
    <row r="65" spans="1:17" x14ac:dyDescent="0.45">
      <c r="A65" s="19"/>
      <c r="B65" s="20"/>
      <c r="C65" s="20"/>
      <c r="D65" s="19"/>
      <c r="E65" s="19"/>
      <c r="F65" s="19"/>
      <c r="G65" s="19"/>
      <c r="H65" s="19"/>
      <c r="I65" s="21"/>
      <c r="J65" s="21"/>
      <c r="K65" s="22"/>
      <c r="L65" s="22" t="str">
        <f t="shared" si="2"/>
        <v/>
      </c>
      <c r="M65" s="22" t="str">
        <f t="shared" si="3"/>
        <v/>
      </c>
      <c r="N65" s="19"/>
      <c r="O65" s="19"/>
      <c r="P65" s="19"/>
      <c r="Q65" s="20"/>
    </row>
    <row r="66" spans="1:17" x14ac:dyDescent="0.45">
      <c r="A66" s="19"/>
      <c r="B66" s="20"/>
      <c r="C66" s="20"/>
      <c r="D66" s="19"/>
      <c r="E66" s="19"/>
      <c r="F66" s="19"/>
      <c r="G66" s="19"/>
      <c r="H66" s="19"/>
      <c r="I66" s="21"/>
      <c r="J66" s="21"/>
      <c r="K66" s="22"/>
      <c r="L66" s="22" t="str">
        <f t="shared" ref="L66:L97" si="4">IF(AND(I66&lt;&gt;"",K66&lt;&gt;""),I66*K66,"")</f>
        <v/>
      </c>
      <c r="M66" s="22" t="str">
        <f t="shared" ref="M66:M101" si="5">IF(AND(J66&lt;&gt;"",K66&lt;&gt;""),J66*K66,"")</f>
        <v/>
      </c>
      <c r="N66" s="19"/>
      <c r="O66" s="19"/>
      <c r="P66" s="19"/>
      <c r="Q66" s="20"/>
    </row>
    <row r="67" spans="1:17" x14ac:dyDescent="0.45">
      <c r="A67" s="19"/>
      <c r="B67" s="20"/>
      <c r="C67" s="20"/>
      <c r="D67" s="19"/>
      <c r="E67" s="19"/>
      <c r="F67" s="19"/>
      <c r="G67" s="19"/>
      <c r="H67" s="19"/>
      <c r="I67" s="21"/>
      <c r="J67" s="21"/>
      <c r="K67" s="22"/>
      <c r="L67" s="22" t="str">
        <f t="shared" si="4"/>
        <v/>
      </c>
      <c r="M67" s="22" t="str">
        <f t="shared" si="5"/>
        <v/>
      </c>
      <c r="N67" s="19"/>
      <c r="O67" s="19"/>
      <c r="P67" s="19"/>
      <c r="Q67" s="20"/>
    </row>
    <row r="68" spans="1:17" x14ac:dyDescent="0.45">
      <c r="A68" s="19"/>
      <c r="B68" s="20"/>
      <c r="C68" s="20"/>
      <c r="D68" s="19"/>
      <c r="E68" s="19"/>
      <c r="F68" s="19"/>
      <c r="G68" s="19"/>
      <c r="H68" s="19"/>
      <c r="I68" s="21"/>
      <c r="J68" s="21"/>
      <c r="K68" s="22"/>
      <c r="L68" s="22" t="str">
        <f t="shared" si="4"/>
        <v/>
      </c>
      <c r="M68" s="22" t="str">
        <f t="shared" si="5"/>
        <v/>
      </c>
      <c r="N68" s="19"/>
      <c r="O68" s="19"/>
      <c r="P68" s="19"/>
      <c r="Q68" s="20"/>
    </row>
    <row r="69" spans="1:17" x14ac:dyDescent="0.45">
      <c r="A69" s="19"/>
      <c r="B69" s="20"/>
      <c r="C69" s="20"/>
      <c r="D69" s="19"/>
      <c r="E69" s="19"/>
      <c r="F69" s="19"/>
      <c r="G69" s="19"/>
      <c r="H69" s="19"/>
      <c r="I69" s="21"/>
      <c r="J69" s="21"/>
      <c r="K69" s="22"/>
      <c r="L69" s="22" t="str">
        <f t="shared" si="4"/>
        <v/>
      </c>
      <c r="M69" s="22" t="str">
        <f t="shared" si="5"/>
        <v/>
      </c>
      <c r="N69" s="19"/>
      <c r="O69" s="19"/>
      <c r="P69" s="19"/>
      <c r="Q69" s="20"/>
    </row>
    <row r="70" spans="1:17" x14ac:dyDescent="0.45">
      <c r="A70" s="19"/>
      <c r="B70" s="20"/>
      <c r="C70" s="20"/>
      <c r="D70" s="19"/>
      <c r="E70" s="19"/>
      <c r="F70" s="19"/>
      <c r="G70" s="19"/>
      <c r="H70" s="19"/>
      <c r="I70" s="21"/>
      <c r="J70" s="21"/>
      <c r="K70" s="22"/>
      <c r="L70" s="22" t="str">
        <f t="shared" si="4"/>
        <v/>
      </c>
      <c r="M70" s="22" t="str">
        <f t="shared" si="5"/>
        <v/>
      </c>
      <c r="N70" s="19"/>
      <c r="O70" s="19"/>
      <c r="P70" s="19"/>
      <c r="Q70" s="20"/>
    </row>
    <row r="71" spans="1:17" x14ac:dyDescent="0.45">
      <c r="A71" s="19"/>
      <c r="B71" s="20"/>
      <c r="C71" s="20"/>
      <c r="D71" s="19"/>
      <c r="E71" s="19"/>
      <c r="F71" s="19"/>
      <c r="G71" s="19"/>
      <c r="H71" s="19"/>
      <c r="I71" s="21"/>
      <c r="J71" s="21"/>
      <c r="K71" s="22"/>
      <c r="L71" s="22" t="str">
        <f t="shared" si="4"/>
        <v/>
      </c>
      <c r="M71" s="22" t="str">
        <f t="shared" si="5"/>
        <v/>
      </c>
      <c r="N71" s="19"/>
      <c r="O71" s="19"/>
      <c r="P71" s="19"/>
      <c r="Q71" s="20"/>
    </row>
    <row r="72" spans="1:17" x14ac:dyDescent="0.45">
      <c r="A72" s="19"/>
      <c r="B72" s="20"/>
      <c r="C72" s="20"/>
      <c r="D72" s="19"/>
      <c r="E72" s="19"/>
      <c r="F72" s="19"/>
      <c r="G72" s="19"/>
      <c r="H72" s="19"/>
      <c r="I72" s="21"/>
      <c r="J72" s="21"/>
      <c r="K72" s="22"/>
      <c r="L72" s="22" t="str">
        <f t="shared" si="4"/>
        <v/>
      </c>
      <c r="M72" s="22" t="str">
        <f t="shared" si="5"/>
        <v/>
      </c>
      <c r="N72" s="19"/>
      <c r="O72" s="19"/>
      <c r="P72" s="19"/>
      <c r="Q72" s="20"/>
    </row>
    <row r="73" spans="1:17" x14ac:dyDescent="0.45">
      <c r="A73" s="19"/>
      <c r="B73" s="20"/>
      <c r="C73" s="20"/>
      <c r="D73" s="19"/>
      <c r="E73" s="19"/>
      <c r="F73" s="19"/>
      <c r="G73" s="19"/>
      <c r="H73" s="19"/>
      <c r="I73" s="21"/>
      <c r="J73" s="21"/>
      <c r="K73" s="22"/>
      <c r="L73" s="22" t="str">
        <f t="shared" si="4"/>
        <v/>
      </c>
      <c r="M73" s="22" t="str">
        <f t="shared" si="5"/>
        <v/>
      </c>
      <c r="N73" s="19"/>
      <c r="O73" s="19"/>
      <c r="P73" s="19"/>
      <c r="Q73" s="20"/>
    </row>
    <row r="74" spans="1:17" x14ac:dyDescent="0.45">
      <c r="A74" s="19"/>
      <c r="B74" s="20"/>
      <c r="C74" s="20"/>
      <c r="D74" s="19"/>
      <c r="E74" s="19"/>
      <c r="F74" s="19"/>
      <c r="G74" s="19"/>
      <c r="H74" s="19"/>
      <c r="I74" s="21"/>
      <c r="J74" s="21"/>
      <c r="K74" s="22"/>
      <c r="L74" s="22" t="str">
        <f t="shared" si="4"/>
        <v/>
      </c>
      <c r="M74" s="22" t="str">
        <f t="shared" si="5"/>
        <v/>
      </c>
      <c r="N74" s="19"/>
      <c r="O74" s="19"/>
      <c r="P74" s="19"/>
      <c r="Q74" s="20"/>
    </row>
    <row r="75" spans="1:17" x14ac:dyDescent="0.45">
      <c r="A75" s="19"/>
      <c r="B75" s="20"/>
      <c r="C75" s="20"/>
      <c r="D75" s="19"/>
      <c r="E75" s="19"/>
      <c r="F75" s="19"/>
      <c r="G75" s="19"/>
      <c r="H75" s="19"/>
      <c r="I75" s="21"/>
      <c r="J75" s="21"/>
      <c r="K75" s="22"/>
      <c r="L75" s="22" t="str">
        <f t="shared" si="4"/>
        <v/>
      </c>
      <c r="M75" s="22" t="str">
        <f t="shared" si="5"/>
        <v/>
      </c>
      <c r="N75" s="19"/>
      <c r="O75" s="19"/>
      <c r="P75" s="19"/>
      <c r="Q75" s="20"/>
    </row>
    <row r="76" spans="1:17" x14ac:dyDescent="0.45">
      <c r="A76" s="19"/>
      <c r="B76" s="20"/>
      <c r="C76" s="20"/>
      <c r="D76" s="19"/>
      <c r="E76" s="19"/>
      <c r="F76" s="19"/>
      <c r="G76" s="19"/>
      <c r="H76" s="19"/>
      <c r="I76" s="21"/>
      <c r="J76" s="21"/>
      <c r="K76" s="22"/>
      <c r="L76" s="22" t="str">
        <f t="shared" si="4"/>
        <v/>
      </c>
      <c r="M76" s="22" t="str">
        <f t="shared" si="5"/>
        <v/>
      </c>
      <c r="N76" s="19"/>
      <c r="O76" s="19"/>
      <c r="P76" s="19"/>
      <c r="Q76" s="20"/>
    </row>
    <row r="77" spans="1:17" x14ac:dyDescent="0.45">
      <c r="A77" s="19"/>
      <c r="B77" s="20"/>
      <c r="C77" s="20"/>
      <c r="D77" s="19"/>
      <c r="E77" s="19"/>
      <c r="F77" s="19"/>
      <c r="G77" s="19"/>
      <c r="H77" s="19"/>
      <c r="I77" s="21"/>
      <c r="J77" s="21"/>
      <c r="K77" s="22"/>
      <c r="L77" s="22" t="str">
        <f t="shared" si="4"/>
        <v/>
      </c>
      <c r="M77" s="22" t="str">
        <f t="shared" si="5"/>
        <v/>
      </c>
      <c r="N77" s="19"/>
      <c r="O77" s="19"/>
      <c r="P77" s="19"/>
      <c r="Q77" s="20"/>
    </row>
    <row r="78" spans="1:17" x14ac:dyDescent="0.45">
      <c r="A78" s="19"/>
      <c r="B78" s="20"/>
      <c r="C78" s="20"/>
      <c r="D78" s="19"/>
      <c r="E78" s="19"/>
      <c r="F78" s="19"/>
      <c r="G78" s="19"/>
      <c r="H78" s="19"/>
      <c r="I78" s="21"/>
      <c r="J78" s="21"/>
      <c r="K78" s="22"/>
      <c r="L78" s="22" t="str">
        <f t="shared" si="4"/>
        <v/>
      </c>
      <c r="M78" s="22" t="str">
        <f t="shared" si="5"/>
        <v/>
      </c>
      <c r="N78" s="19"/>
      <c r="O78" s="19"/>
      <c r="P78" s="19"/>
      <c r="Q78" s="20"/>
    </row>
    <row r="79" spans="1:17" x14ac:dyDescent="0.45">
      <c r="A79" s="19"/>
      <c r="B79" s="20"/>
      <c r="C79" s="20"/>
      <c r="D79" s="19"/>
      <c r="E79" s="19"/>
      <c r="F79" s="19"/>
      <c r="G79" s="19"/>
      <c r="H79" s="19"/>
      <c r="I79" s="21"/>
      <c r="J79" s="21"/>
      <c r="K79" s="22"/>
      <c r="L79" s="22" t="str">
        <f t="shared" si="4"/>
        <v/>
      </c>
      <c r="M79" s="22" t="str">
        <f t="shared" si="5"/>
        <v/>
      </c>
      <c r="N79" s="19"/>
      <c r="O79" s="19"/>
      <c r="P79" s="19"/>
      <c r="Q79" s="20"/>
    </row>
    <row r="80" spans="1:17" x14ac:dyDescent="0.45">
      <c r="A80" s="19"/>
      <c r="B80" s="20"/>
      <c r="C80" s="20"/>
      <c r="D80" s="19"/>
      <c r="E80" s="19"/>
      <c r="F80" s="19"/>
      <c r="G80" s="19"/>
      <c r="H80" s="19"/>
      <c r="I80" s="21"/>
      <c r="J80" s="21"/>
      <c r="K80" s="22"/>
      <c r="L80" s="22" t="str">
        <f t="shared" si="4"/>
        <v/>
      </c>
      <c r="M80" s="22" t="str">
        <f t="shared" si="5"/>
        <v/>
      </c>
      <c r="N80" s="19"/>
      <c r="O80" s="19"/>
      <c r="P80" s="19"/>
      <c r="Q80" s="20"/>
    </row>
    <row r="81" spans="1:17" x14ac:dyDescent="0.45">
      <c r="A81" s="19"/>
      <c r="B81" s="20"/>
      <c r="C81" s="20"/>
      <c r="D81" s="19"/>
      <c r="E81" s="19"/>
      <c r="F81" s="19"/>
      <c r="G81" s="19"/>
      <c r="H81" s="19"/>
      <c r="I81" s="21"/>
      <c r="J81" s="21"/>
      <c r="K81" s="22"/>
      <c r="L81" s="22" t="str">
        <f t="shared" si="4"/>
        <v/>
      </c>
      <c r="M81" s="22" t="str">
        <f t="shared" si="5"/>
        <v/>
      </c>
      <c r="N81" s="19"/>
      <c r="O81" s="19"/>
      <c r="P81" s="19"/>
      <c r="Q81" s="20"/>
    </row>
    <row r="82" spans="1:17" x14ac:dyDescent="0.45">
      <c r="A82" s="19"/>
      <c r="B82" s="20"/>
      <c r="C82" s="20"/>
      <c r="D82" s="19"/>
      <c r="E82" s="19"/>
      <c r="F82" s="19"/>
      <c r="G82" s="19"/>
      <c r="H82" s="19"/>
      <c r="I82" s="21"/>
      <c r="J82" s="21"/>
      <c r="K82" s="22"/>
      <c r="L82" s="22" t="str">
        <f t="shared" si="4"/>
        <v/>
      </c>
      <c r="M82" s="22" t="str">
        <f t="shared" si="5"/>
        <v/>
      </c>
      <c r="N82" s="19"/>
      <c r="O82" s="19"/>
      <c r="P82" s="19"/>
      <c r="Q82" s="20"/>
    </row>
    <row r="83" spans="1:17" x14ac:dyDescent="0.45">
      <c r="A83" s="19"/>
      <c r="B83" s="20"/>
      <c r="C83" s="20"/>
      <c r="D83" s="19"/>
      <c r="E83" s="19"/>
      <c r="F83" s="19"/>
      <c r="G83" s="19"/>
      <c r="H83" s="19"/>
      <c r="I83" s="21"/>
      <c r="J83" s="21"/>
      <c r="K83" s="22"/>
      <c r="L83" s="22" t="str">
        <f t="shared" si="4"/>
        <v/>
      </c>
      <c r="M83" s="22" t="str">
        <f t="shared" si="5"/>
        <v/>
      </c>
      <c r="N83" s="19"/>
      <c r="O83" s="19"/>
      <c r="P83" s="19"/>
      <c r="Q83" s="20"/>
    </row>
    <row r="84" spans="1:17" x14ac:dyDescent="0.45">
      <c r="A84" s="19"/>
      <c r="B84" s="20"/>
      <c r="C84" s="20"/>
      <c r="D84" s="19"/>
      <c r="E84" s="19"/>
      <c r="F84" s="19"/>
      <c r="G84" s="19"/>
      <c r="H84" s="19"/>
      <c r="I84" s="21"/>
      <c r="J84" s="21"/>
      <c r="K84" s="22"/>
      <c r="L84" s="22" t="str">
        <f t="shared" si="4"/>
        <v/>
      </c>
      <c r="M84" s="22" t="str">
        <f t="shared" si="5"/>
        <v/>
      </c>
      <c r="N84" s="19"/>
      <c r="O84" s="19"/>
      <c r="P84" s="19"/>
      <c r="Q84" s="20"/>
    </row>
    <row r="85" spans="1:17" x14ac:dyDescent="0.45">
      <c r="A85" s="19"/>
      <c r="B85" s="20"/>
      <c r="C85" s="20"/>
      <c r="D85" s="19"/>
      <c r="E85" s="19"/>
      <c r="F85" s="19"/>
      <c r="G85" s="19"/>
      <c r="H85" s="19"/>
      <c r="I85" s="21"/>
      <c r="J85" s="21"/>
      <c r="K85" s="22"/>
      <c r="L85" s="22" t="str">
        <f t="shared" si="4"/>
        <v/>
      </c>
      <c r="M85" s="22" t="str">
        <f t="shared" si="5"/>
        <v/>
      </c>
      <c r="N85" s="19"/>
      <c r="O85" s="19"/>
      <c r="P85" s="19"/>
      <c r="Q85" s="20"/>
    </row>
    <row r="86" spans="1:17" x14ac:dyDescent="0.45">
      <c r="A86" s="19"/>
      <c r="B86" s="20"/>
      <c r="C86" s="20"/>
      <c r="D86" s="19"/>
      <c r="E86" s="19"/>
      <c r="F86" s="19"/>
      <c r="G86" s="19"/>
      <c r="H86" s="19"/>
      <c r="I86" s="21"/>
      <c r="J86" s="21"/>
      <c r="K86" s="22"/>
      <c r="L86" s="22" t="str">
        <f t="shared" si="4"/>
        <v/>
      </c>
      <c r="M86" s="22" t="str">
        <f t="shared" si="5"/>
        <v/>
      </c>
      <c r="N86" s="19"/>
      <c r="O86" s="19"/>
      <c r="P86" s="19"/>
      <c r="Q86" s="20"/>
    </row>
    <row r="87" spans="1:17" x14ac:dyDescent="0.45">
      <c r="A87" s="19"/>
      <c r="B87" s="20"/>
      <c r="C87" s="20"/>
      <c r="D87" s="19"/>
      <c r="E87" s="19"/>
      <c r="F87" s="19"/>
      <c r="G87" s="19"/>
      <c r="H87" s="19"/>
      <c r="I87" s="21"/>
      <c r="J87" s="21"/>
      <c r="K87" s="22"/>
      <c r="L87" s="22" t="str">
        <f t="shared" si="4"/>
        <v/>
      </c>
      <c r="M87" s="22" t="str">
        <f t="shared" si="5"/>
        <v/>
      </c>
      <c r="N87" s="19"/>
      <c r="O87" s="19"/>
      <c r="P87" s="19"/>
      <c r="Q87" s="20"/>
    </row>
    <row r="88" spans="1:17" x14ac:dyDescent="0.45">
      <c r="A88" s="19"/>
      <c r="B88" s="20"/>
      <c r="C88" s="20"/>
      <c r="D88" s="19"/>
      <c r="E88" s="19"/>
      <c r="F88" s="19"/>
      <c r="G88" s="19"/>
      <c r="H88" s="19"/>
      <c r="I88" s="21"/>
      <c r="J88" s="21"/>
      <c r="K88" s="22"/>
      <c r="L88" s="22" t="str">
        <f t="shared" si="4"/>
        <v/>
      </c>
      <c r="M88" s="22" t="str">
        <f t="shared" si="5"/>
        <v/>
      </c>
      <c r="N88" s="19"/>
      <c r="O88" s="19"/>
      <c r="P88" s="19"/>
      <c r="Q88" s="20"/>
    </row>
    <row r="89" spans="1:17" x14ac:dyDescent="0.45">
      <c r="A89" s="19"/>
      <c r="B89" s="20"/>
      <c r="C89" s="20"/>
      <c r="D89" s="19"/>
      <c r="E89" s="19"/>
      <c r="F89" s="19"/>
      <c r="G89" s="19"/>
      <c r="H89" s="19"/>
      <c r="I89" s="21"/>
      <c r="J89" s="21"/>
      <c r="K89" s="22"/>
      <c r="L89" s="22" t="str">
        <f t="shared" si="4"/>
        <v/>
      </c>
      <c r="M89" s="22" t="str">
        <f t="shared" si="5"/>
        <v/>
      </c>
      <c r="N89" s="19"/>
      <c r="O89" s="19"/>
      <c r="P89" s="19"/>
      <c r="Q89" s="20"/>
    </row>
    <row r="90" spans="1:17" x14ac:dyDescent="0.45">
      <c r="A90" s="19"/>
      <c r="B90" s="20"/>
      <c r="C90" s="20"/>
      <c r="D90" s="19"/>
      <c r="E90" s="19"/>
      <c r="F90" s="19"/>
      <c r="G90" s="19"/>
      <c r="H90" s="19"/>
      <c r="I90" s="21"/>
      <c r="J90" s="21"/>
      <c r="K90" s="22"/>
      <c r="L90" s="22" t="str">
        <f t="shared" si="4"/>
        <v/>
      </c>
      <c r="M90" s="22" t="str">
        <f t="shared" si="5"/>
        <v/>
      </c>
      <c r="N90" s="19"/>
      <c r="O90" s="19"/>
      <c r="P90" s="19"/>
      <c r="Q90" s="20"/>
    </row>
    <row r="91" spans="1:17" x14ac:dyDescent="0.45">
      <c r="A91" s="19"/>
      <c r="B91" s="20"/>
      <c r="C91" s="20"/>
      <c r="D91" s="19"/>
      <c r="E91" s="19"/>
      <c r="F91" s="19"/>
      <c r="G91" s="19"/>
      <c r="H91" s="19"/>
      <c r="I91" s="21"/>
      <c r="J91" s="21"/>
      <c r="K91" s="22"/>
      <c r="L91" s="22" t="str">
        <f t="shared" si="4"/>
        <v/>
      </c>
      <c r="M91" s="22" t="str">
        <f t="shared" si="5"/>
        <v/>
      </c>
      <c r="N91" s="19"/>
      <c r="O91" s="19"/>
      <c r="P91" s="19"/>
      <c r="Q91" s="20"/>
    </row>
    <row r="92" spans="1:17" x14ac:dyDescent="0.45">
      <c r="A92" s="19"/>
      <c r="B92" s="20"/>
      <c r="C92" s="20"/>
      <c r="D92" s="19"/>
      <c r="E92" s="19"/>
      <c r="F92" s="19"/>
      <c r="G92" s="19"/>
      <c r="H92" s="19"/>
      <c r="I92" s="21"/>
      <c r="J92" s="21"/>
      <c r="K92" s="22"/>
      <c r="L92" s="22" t="str">
        <f t="shared" si="4"/>
        <v/>
      </c>
      <c r="M92" s="22" t="str">
        <f t="shared" si="5"/>
        <v/>
      </c>
      <c r="N92" s="19"/>
      <c r="O92" s="19"/>
      <c r="P92" s="19"/>
      <c r="Q92" s="20"/>
    </row>
    <row r="93" spans="1:17" x14ac:dyDescent="0.45">
      <c r="A93" s="19"/>
      <c r="B93" s="20"/>
      <c r="C93" s="20"/>
      <c r="D93" s="19"/>
      <c r="E93" s="19"/>
      <c r="F93" s="19"/>
      <c r="G93" s="19"/>
      <c r="H93" s="19"/>
      <c r="I93" s="21"/>
      <c r="J93" s="21"/>
      <c r="K93" s="22"/>
      <c r="L93" s="22" t="str">
        <f t="shared" si="4"/>
        <v/>
      </c>
      <c r="M93" s="22" t="str">
        <f t="shared" si="5"/>
        <v/>
      </c>
      <c r="N93" s="19"/>
      <c r="O93" s="19"/>
      <c r="P93" s="19"/>
      <c r="Q93" s="20"/>
    </row>
    <row r="94" spans="1:17" x14ac:dyDescent="0.45">
      <c r="A94" s="19"/>
      <c r="B94" s="20"/>
      <c r="C94" s="20"/>
      <c r="D94" s="19"/>
      <c r="E94" s="19"/>
      <c r="F94" s="19"/>
      <c r="G94" s="19"/>
      <c r="H94" s="19"/>
      <c r="I94" s="21"/>
      <c r="J94" s="21"/>
      <c r="K94" s="22"/>
      <c r="L94" s="22" t="str">
        <f t="shared" si="4"/>
        <v/>
      </c>
      <c r="M94" s="22" t="str">
        <f t="shared" si="5"/>
        <v/>
      </c>
      <c r="N94" s="19"/>
      <c r="O94" s="19"/>
      <c r="P94" s="19"/>
      <c r="Q94" s="20"/>
    </row>
    <row r="95" spans="1:17" x14ac:dyDescent="0.45">
      <c r="A95" s="19"/>
      <c r="B95" s="20"/>
      <c r="C95" s="20"/>
      <c r="D95" s="19"/>
      <c r="E95" s="19"/>
      <c r="F95" s="19"/>
      <c r="G95" s="19"/>
      <c r="H95" s="19"/>
      <c r="I95" s="21"/>
      <c r="J95" s="21"/>
      <c r="K95" s="22"/>
      <c r="L95" s="22" t="str">
        <f t="shared" si="4"/>
        <v/>
      </c>
      <c r="M95" s="22" t="str">
        <f t="shared" si="5"/>
        <v/>
      </c>
      <c r="N95" s="19"/>
      <c r="O95" s="19"/>
      <c r="P95" s="19"/>
      <c r="Q95" s="20"/>
    </row>
    <row r="96" spans="1:17" x14ac:dyDescent="0.45">
      <c r="A96" s="19"/>
      <c r="B96" s="20"/>
      <c r="C96" s="20"/>
      <c r="D96" s="19"/>
      <c r="E96" s="19"/>
      <c r="F96" s="19"/>
      <c r="G96" s="19"/>
      <c r="H96" s="19"/>
      <c r="I96" s="21"/>
      <c r="J96" s="21"/>
      <c r="K96" s="22"/>
      <c r="L96" s="22" t="str">
        <f t="shared" si="4"/>
        <v/>
      </c>
      <c r="M96" s="22" t="str">
        <f t="shared" si="5"/>
        <v/>
      </c>
      <c r="N96" s="19"/>
      <c r="O96" s="19"/>
      <c r="P96" s="19"/>
      <c r="Q96" s="20"/>
    </row>
    <row r="97" spans="1:17" x14ac:dyDescent="0.45">
      <c r="A97" s="19"/>
      <c r="B97" s="20"/>
      <c r="C97" s="20"/>
      <c r="D97" s="19"/>
      <c r="E97" s="19"/>
      <c r="F97" s="19"/>
      <c r="G97" s="19"/>
      <c r="H97" s="19"/>
      <c r="I97" s="21"/>
      <c r="J97" s="21"/>
      <c r="K97" s="22"/>
      <c r="L97" s="22" t="str">
        <f t="shared" si="4"/>
        <v/>
      </c>
      <c r="M97" s="22" t="str">
        <f t="shared" si="5"/>
        <v/>
      </c>
      <c r="N97" s="19"/>
      <c r="O97" s="19"/>
      <c r="P97" s="19"/>
      <c r="Q97" s="20"/>
    </row>
    <row r="98" spans="1:17" x14ac:dyDescent="0.45">
      <c r="A98" s="19"/>
      <c r="B98" s="20"/>
      <c r="C98" s="20"/>
      <c r="D98" s="19"/>
      <c r="E98" s="19"/>
      <c r="F98" s="19"/>
      <c r="G98" s="19"/>
      <c r="H98" s="19"/>
      <c r="I98" s="21"/>
      <c r="J98" s="21"/>
      <c r="K98" s="22"/>
      <c r="L98" s="22" t="str">
        <f t="shared" ref="L98:L101" si="6">IF(AND(I98&lt;&gt;"",K98&lt;&gt;""),I98*K98,"")</f>
        <v/>
      </c>
      <c r="M98" s="22" t="str">
        <f t="shared" si="5"/>
        <v/>
      </c>
      <c r="N98" s="19"/>
      <c r="O98" s="19"/>
      <c r="P98" s="19"/>
      <c r="Q98" s="20"/>
    </row>
    <row r="99" spans="1:17" x14ac:dyDescent="0.45">
      <c r="A99" s="19"/>
      <c r="B99" s="20"/>
      <c r="C99" s="20"/>
      <c r="D99" s="19"/>
      <c r="E99" s="19"/>
      <c r="F99" s="19"/>
      <c r="G99" s="19"/>
      <c r="H99" s="19"/>
      <c r="I99" s="21"/>
      <c r="J99" s="21"/>
      <c r="K99" s="22"/>
      <c r="L99" s="22" t="str">
        <f t="shared" si="6"/>
        <v/>
      </c>
      <c r="M99" s="22" t="str">
        <f t="shared" si="5"/>
        <v/>
      </c>
      <c r="N99" s="19"/>
      <c r="O99" s="19"/>
      <c r="P99" s="19"/>
      <c r="Q99" s="20"/>
    </row>
    <row r="100" spans="1:17" x14ac:dyDescent="0.45">
      <c r="A100" s="19"/>
      <c r="B100" s="20"/>
      <c r="C100" s="20"/>
      <c r="D100" s="19"/>
      <c r="E100" s="19"/>
      <c r="F100" s="19"/>
      <c r="G100" s="19"/>
      <c r="H100" s="19"/>
      <c r="I100" s="21"/>
      <c r="J100" s="21"/>
      <c r="K100" s="22"/>
      <c r="L100" s="22" t="str">
        <f t="shared" si="6"/>
        <v/>
      </c>
      <c r="M100" s="22" t="str">
        <f t="shared" si="5"/>
        <v/>
      </c>
      <c r="N100" s="19"/>
      <c r="O100" s="19"/>
      <c r="P100" s="19"/>
      <c r="Q100" s="20"/>
    </row>
    <row r="101" spans="1:17" x14ac:dyDescent="0.45">
      <c r="A101" s="19"/>
      <c r="B101" s="20"/>
      <c r="C101" s="20"/>
      <c r="D101" s="19"/>
      <c r="E101" s="19"/>
      <c r="F101" s="19"/>
      <c r="G101" s="19"/>
      <c r="H101" s="19"/>
      <c r="I101" s="21"/>
      <c r="J101" s="21"/>
      <c r="K101" s="22"/>
      <c r="L101" s="22" t="str">
        <f t="shared" si="6"/>
        <v/>
      </c>
      <c r="M101" s="22" t="str">
        <f t="shared" si="5"/>
        <v/>
      </c>
      <c r="N101" s="19"/>
      <c r="O101" s="19"/>
      <c r="P101" s="19"/>
      <c r="Q101" s="20"/>
    </row>
    <row r="102" spans="1:17" x14ac:dyDescent="0.45">
      <c r="A102" s="23" t="s">
        <v>70</v>
      </c>
      <c r="I102" s="24">
        <f>SUM(I2:I101)</f>
        <v>0</v>
      </c>
      <c r="J102" s="24">
        <f>SUM(J2:J101)</f>
        <v>0</v>
      </c>
      <c r="L102" s="25">
        <f>SUM(L2:L101)</f>
        <v>0</v>
      </c>
      <c r="M102" s="25">
        <f>SUM(M2:M101)</f>
        <v>0</v>
      </c>
    </row>
    <row r="104" spans="1:17" x14ac:dyDescent="0.45">
      <c r="A104" s="26" t="s">
        <v>71</v>
      </c>
    </row>
    <row r="105" spans="1:17" x14ac:dyDescent="0.45">
      <c r="A105" s="27" t="s">
        <v>244</v>
      </c>
    </row>
    <row r="106" spans="1:17" x14ac:dyDescent="0.45">
      <c r="A106" s="27" t="s">
        <v>245</v>
      </c>
    </row>
    <row r="107" spans="1:17" x14ac:dyDescent="0.45">
      <c r="A107" s="27" t="s">
        <v>246</v>
      </c>
    </row>
    <row r="108" spans="1:17" x14ac:dyDescent="0.45">
      <c r="A108" s="27" t="s">
        <v>247</v>
      </c>
    </row>
  </sheetData>
  <autoFilter ref="A1:Q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246A-DF22-4F99-BD86-2C538081B74F}">
  <sheetPr filterMode="1"/>
  <dimension ref="A1:I54"/>
  <sheetViews>
    <sheetView zoomScaleNormal="100" workbookViewId="0">
      <pane ySplit="3" topLeftCell="A28" activePane="bottomLeft" state="frozen"/>
      <selection pane="bottomLeft" activeCell="A3" sqref="A3:H54"/>
    </sheetView>
  </sheetViews>
  <sheetFormatPr defaultColWidth="8.68359375" defaultRowHeight="14.4" x14ac:dyDescent="0.55000000000000004"/>
  <cols>
    <col min="1" max="1" width="9" customWidth="1"/>
    <col min="2" max="2" width="10.62890625" customWidth="1"/>
    <col min="3" max="3" width="9" customWidth="1"/>
    <col min="4" max="4" width="34" customWidth="1"/>
    <col min="5" max="5" width="10.83984375" customWidth="1"/>
    <col min="6" max="6" width="11" customWidth="1"/>
    <col min="7" max="7" width="13" customWidth="1"/>
    <col min="8" max="8" width="72" customWidth="1"/>
    <col min="9" max="9" width="30" customWidth="1"/>
  </cols>
  <sheetData>
    <row r="1" spans="1:9" ht="17.7" x14ac:dyDescent="0.6">
      <c r="A1" s="1" t="s">
        <v>248</v>
      </c>
    </row>
    <row r="2" spans="1:9" x14ac:dyDescent="0.55000000000000004">
      <c r="A2" s="28" t="s">
        <v>249</v>
      </c>
    </row>
    <row r="3" spans="1:9" ht="28.2" x14ac:dyDescent="0.55000000000000004">
      <c r="A3" s="29" t="s">
        <v>250</v>
      </c>
      <c r="B3" s="29" t="s">
        <v>251</v>
      </c>
      <c r="C3" s="29" t="s">
        <v>3</v>
      </c>
      <c r="D3" s="29" t="s">
        <v>252</v>
      </c>
      <c r="E3" s="29" t="s">
        <v>428</v>
      </c>
      <c r="F3" s="29" t="s">
        <v>253</v>
      </c>
      <c r="G3" s="29" t="s">
        <v>5</v>
      </c>
      <c r="H3" s="29" t="s">
        <v>254</v>
      </c>
      <c r="I3" s="29" t="s">
        <v>255</v>
      </c>
    </row>
    <row r="4" spans="1:9" ht="24.6" x14ac:dyDescent="0.55000000000000004">
      <c r="A4" s="30" t="s">
        <v>17</v>
      </c>
      <c r="B4" s="30" t="s">
        <v>256</v>
      </c>
      <c r="C4" s="30" t="s">
        <v>20</v>
      </c>
      <c r="D4" s="31" t="s">
        <v>18</v>
      </c>
      <c r="E4" s="31">
        <v>1</v>
      </c>
      <c r="F4" s="32" t="s">
        <v>257</v>
      </c>
      <c r="G4" s="32" t="s">
        <v>257</v>
      </c>
      <c r="H4" s="31" t="s">
        <v>258</v>
      </c>
      <c r="I4" s="31" t="s">
        <v>259</v>
      </c>
    </row>
    <row r="5" spans="1:9" ht="24.6" x14ac:dyDescent="0.55000000000000004">
      <c r="A5" s="30" t="s">
        <v>27</v>
      </c>
      <c r="B5" s="30" t="s">
        <v>256</v>
      </c>
      <c r="C5" s="30" t="s">
        <v>20</v>
      </c>
      <c r="D5" s="31" t="s">
        <v>28</v>
      </c>
      <c r="E5" s="31">
        <v>1</v>
      </c>
      <c r="F5" s="32" t="s">
        <v>257</v>
      </c>
      <c r="G5" s="32" t="s">
        <v>257</v>
      </c>
      <c r="H5" s="31" t="s">
        <v>260</v>
      </c>
      <c r="I5" s="31" t="s">
        <v>256</v>
      </c>
    </row>
    <row r="6" spans="1:9" ht="24.6" x14ac:dyDescent="0.55000000000000004">
      <c r="A6" s="30" t="s">
        <v>31</v>
      </c>
      <c r="B6" s="30" t="s">
        <v>256</v>
      </c>
      <c r="C6" s="30" t="s">
        <v>20</v>
      </c>
      <c r="D6" s="31" t="s">
        <v>32</v>
      </c>
      <c r="E6" s="31">
        <v>1</v>
      </c>
      <c r="F6" s="32" t="s">
        <v>257</v>
      </c>
      <c r="G6" s="32" t="s">
        <v>257</v>
      </c>
      <c r="H6" s="31" t="s">
        <v>261</v>
      </c>
      <c r="I6" s="31" t="s">
        <v>256</v>
      </c>
    </row>
    <row r="7" spans="1:9" ht="24.6" x14ac:dyDescent="0.55000000000000004">
      <c r="A7" s="30" t="s">
        <v>37</v>
      </c>
      <c r="B7" s="30" t="s">
        <v>256</v>
      </c>
      <c r="C7" s="30" t="s">
        <v>20</v>
      </c>
      <c r="D7" s="31" t="s">
        <v>38</v>
      </c>
      <c r="E7" s="31">
        <v>1</v>
      </c>
      <c r="F7" s="32" t="s">
        <v>257</v>
      </c>
      <c r="G7" s="32" t="s">
        <v>257</v>
      </c>
      <c r="H7" s="31" t="s">
        <v>262</v>
      </c>
      <c r="I7" s="31" t="s">
        <v>256</v>
      </c>
    </row>
    <row r="8" spans="1:9" ht="24.6" x14ac:dyDescent="0.55000000000000004">
      <c r="A8" s="30" t="s">
        <v>41</v>
      </c>
      <c r="B8" s="30" t="s">
        <v>256</v>
      </c>
      <c r="C8" s="30" t="s">
        <v>20</v>
      </c>
      <c r="D8" s="31" t="s">
        <v>263</v>
      </c>
      <c r="E8" s="31">
        <v>1</v>
      </c>
      <c r="F8" s="32" t="s">
        <v>257</v>
      </c>
      <c r="G8" s="32" t="s">
        <v>257</v>
      </c>
      <c r="H8" s="31" t="s">
        <v>264</v>
      </c>
      <c r="I8" s="31" t="s">
        <v>256</v>
      </c>
    </row>
    <row r="9" spans="1:9" ht="24.6" x14ac:dyDescent="0.55000000000000004">
      <c r="A9" s="30" t="s">
        <v>45</v>
      </c>
      <c r="B9" s="30" t="s">
        <v>256</v>
      </c>
      <c r="C9" s="30" t="s">
        <v>20</v>
      </c>
      <c r="D9" s="31" t="s">
        <v>46</v>
      </c>
      <c r="E9" s="31">
        <v>1</v>
      </c>
      <c r="F9" s="32" t="s">
        <v>257</v>
      </c>
      <c r="G9" s="32" t="s">
        <v>257</v>
      </c>
      <c r="H9" s="31" t="s">
        <v>265</v>
      </c>
      <c r="I9" s="31" t="s">
        <v>256</v>
      </c>
    </row>
    <row r="10" spans="1:9" ht="24.6" x14ac:dyDescent="0.55000000000000004">
      <c r="A10" s="30" t="s">
        <v>49</v>
      </c>
      <c r="B10" s="30" t="s">
        <v>256</v>
      </c>
      <c r="C10" s="30" t="s">
        <v>20</v>
      </c>
      <c r="D10" s="31" t="s">
        <v>50</v>
      </c>
      <c r="E10" s="31">
        <v>1</v>
      </c>
      <c r="F10" s="32" t="s">
        <v>257</v>
      </c>
      <c r="G10" s="32" t="s">
        <v>257</v>
      </c>
      <c r="H10" s="31" t="s">
        <v>266</v>
      </c>
      <c r="I10" s="31" t="s">
        <v>256</v>
      </c>
    </row>
    <row r="11" spans="1:9" ht="24.6" x14ac:dyDescent="0.55000000000000004">
      <c r="A11" s="30" t="s">
        <v>53</v>
      </c>
      <c r="B11" s="30" t="s">
        <v>256</v>
      </c>
      <c r="C11" s="30" t="s">
        <v>20</v>
      </c>
      <c r="D11" s="31" t="s">
        <v>54</v>
      </c>
      <c r="E11" s="31">
        <v>1</v>
      </c>
      <c r="F11" s="32" t="s">
        <v>257</v>
      </c>
      <c r="G11" s="32" t="s">
        <v>257</v>
      </c>
      <c r="H11" s="31" t="s">
        <v>267</v>
      </c>
      <c r="I11" s="31" t="s">
        <v>256</v>
      </c>
    </row>
    <row r="12" spans="1:9" ht="24.6" x14ac:dyDescent="0.55000000000000004">
      <c r="A12" s="30" t="s">
        <v>58</v>
      </c>
      <c r="B12" s="30" t="s">
        <v>256</v>
      </c>
      <c r="C12" s="30" t="s">
        <v>20</v>
      </c>
      <c r="D12" s="31" t="s">
        <v>59</v>
      </c>
      <c r="E12" s="31">
        <v>1</v>
      </c>
      <c r="F12" s="32" t="s">
        <v>257</v>
      </c>
      <c r="G12" s="32" t="s">
        <v>257</v>
      </c>
      <c r="H12" s="31" t="s">
        <v>268</v>
      </c>
      <c r="I12" s="31" t="s">
        <v>256</v>
      </c>
    </row>
    <row r="13" spans="1:9" ht="24.6" hidden="1" x14ac:dyDescent="0.55000000000000004">
      <c r="A13" s="30" t="s">
        <v>62</v>
      </c>
      <c r="B13" s="30" t="s">
        <v>256</v>
      </c>
      <c r="C13" s="30" t="s">
        <v>20</v>
      </c>
      <c r="D13" s="31" t="s">
        <v>269</v>
      </c>
      <c r="E13" s="31">
        <v>0</v>
      </c>
      <c r="F13" s="32" t="s">
        <v>257</v>
      </c>
      <c r="G13" s="32" t="s">
        <v>257</v>
      </c>
      <c r="H13" s="31" t="s">
        <v>270</v>
      </c>
      <c r="I13" s="31" t="s">
        <v>256</v>
      </c>
    </row>
    <row r="14" spans="1:9" ht="24.6" x14ac:dyDescent="0.55000000000000004">
      <c r="A14" s="30" t="s">
        <v>66</v>
      </c>
      <c r="B14" s="30" t="s">
        <v>256</v>
      </c>
      <c r="C14" s="30" t="s">
        <v>20</v>
      </c>
      <c r="D14" s="31" t="s">
        <v>271</v>
      </c>
      <c r="E14" s="31">
        <v>1</v>
      </c>
      <c r="F14" s="32" t="s">
        <v>257</v>
      </c>
      <c r="G14" s="32" t="s">
        <v>257</v>
      </c>
      <c r="H14" s="31" t="s">
        <v>272</v>
      </c>
      <c r="I14" s="31" t="s">
        <v>256</v>
      </c>
    </row>
    <row r="15" spans="1:9" ht="24.6" x14ac:dyDescent="0.55000000000000004">
      <c r="A15" s="30" t="s">
        <v>273</v>
      </c>
      <c r="B15" s="30" t="s">
        <v>128</v>
      </c>
      <c r="C15" s="30" t="s">
        <v>274</v>
      </c>
      <c r="D15" s="31" t="s">
        <v>275</v>
      </c>
      <c r="E15" s="31">
        <v>1</v>
      </c>
      <c r="F15" s="32" t="s">
        <v>257</v>
      </c>
      <c r="G15" s="32" t="s">
        <v>257</v>
      </c>
      <c r="H15" s="31" t="s">
        <v>276</v>
      </c>
      <c r="I15" s="31" t="s">
        <v>277</v>
      </c>
    </row>
    <row r="16" spans="1:9" ht="24.6" hidden="1" x14ac:dyDescent="0.55000000000000004">
      <c r="A16" s="30" t="s">
        <v>278</v>
      </c>
      <c r="B16" s="30" t="s">
        <v>222</v>
      </c>
      <c r="C16" s="30" t="s">
        <v>274</v>
      </c>
      <c r="D16" s="31" t="s">
        <v>279</v>
      </c>
      <c r="E16" s="31">
        <v>0</v>
      </c>
      <c r="F16" s="32" t="s">
        <v>257</v>
      </c>
      <c r="G16" s="32" t="s">
        <v>257</v>
      </c>
      <c r="H16" s="31" t="s">
        <v>280</v>
      </c>
      <c r="I16" s="31" t="s">
        <v>281</v>
      </c>
    </row>
    <row r="17" spans="1:9" ht="24.6" hidden="1" x14ac:dyDescent="0.55000000000000004">
      <c r="A17" s="30" t="s">
        <v>282</v>
      </c>
      <c r="B17" s="30" t="s">
        <v>158</v>
      </c>
      <c r="C17" s="30" t="s">
        <v>20</v>
      </c>
      <c r="D17" s="31" t="s">
        <v>283</v>
      </c>
      <c r="E17" s="31">
        <v>0</v>
      </c>
      <c r="F17" s="32" t="s">
        <v>257</v>
      </c>
      <c r="G17" s="32" t="s">
        <v>257</v>
      </c>
      <c r="H17" s="31" t="s">
        <v>284</v>
      </c>
      <c r="I17" s="31" t="s">
        <v>285</v>
      </c>
    </row>
    <row r="18" spans="1:9" ht="24.6" x14ac:dyDescent="0.55000000000000004">
      <c r="A18" s="30" t="s">
        <v>286</v>
      </c>
      <c r="B18" s="30" t="s">
        <v>107</v>
      </c>
      <c r="C18" s="30" t="s">
        <v>110</v>
      </c>
      <c r="D18" s="31" t="s">
        <v>108</v>
      </c>
      <c r="E18" s="31">
        <v>1</v>
      </c>
      <c r="F18" s="32" t="s">
        <v>257</v>
      </c>
      <c r="G18" s="32" t="s">
        <v>257</v>
      </c>
      <c r="H18" s="31" t="s">
        <v>287</v>
      </c>
      <c r="I18" s="31" t="s">
        <v>288</v>
      </c>
    </row>
    <row r="19" spans="1:9" ht="24.6" x14ac:dyDescent="0.55000000000000004">
      <c r="A19" s="30" t="s">
        <v>289</v>
      </c>
      <c r="B19" s="30" t="s">
        <v>85</v>
      </c>
      <c r="C19" s="30" t="s">
        <v>20</v>
      </c>
      <c r="D19" s="31" t="s">
        <v>290</v>
      </c>
      <c r="E19" s="31">
        <v>1</v>
      </c>
      <c r="F19" s="32" t="s">
        <v>257</v>
      </c>
      <c r="G19" s="32" t="s">
        <v>257</v>
      </c>
      <c r="H19" s="31" t="s">
        <v>291</v>
      </c>
      <c r="I19" s="31" t="s">
        <v>292</v>
      </c>
    </row>
    <row r="20" spans="1:9" ht="24.6" x14ac:dyDescent="0.55000000000000004">
      <c r="A20" s="30" t="s">
        <v>293</v>
      </c>
      <c r="B20" s="30" t="s">
        <v>81</v>
      </c>
      <c r="C20" s="30" t="s">
        <v>20</v>
      </c>
      <c r="D20" s="31" t="s">
        <v>82</v>
      </c>
      <c r="E20" s="31">
        <v>1</v>
      </c>
      <c r="F20" s="32" t="s">
        <v>257</v>
      </c>
      <c r="G20" s="32" t="s">
        <v>257</v>
      </c>
      <c r="H20" s="31" t="s">
        <v>294</v>
      </c>
      <c r="I20" s="31" t="s">
        <v>295</v>
      </c>
    </row>
    <row r="21" spans="1:9" ht="24.6" x14ac:dyDescent="0.55000000000000004">
      <c r="A21" s="30" t="s">
        <v>296</v>
      </c>
      <c r="B21" s="30" t="s">
        <v>89</v>
      </c>
      <c r="C21" s="30" t="s">
        <v>20</v>
      </c>
      <c r="D21" s="31" t="s">
        <v>90</v>
      </c>
      <c r="E21" s="31">
        <v>1</v>
      </c>
      <c r="F21" s="32" t="s">
        <v>257</v>
      </c>
      <c r="G21" s="32" t="s">
        <v>257</v>
      </c>
      <c r="H21" s="31" t="s">
        <v>297</v>
      </c>
      <c r="I21" s="31" t="s">
        <v>298</v>
      </c>
    </row>
    <row r="22" spans="1:9" ht="24.6" x14ac:dyDescent="0.55000000000000004">
      <c r="A22" s="30" t="s">
        <v>299</v>
      </c>
      <c r="B22" s="30" t="s">
        <v>77</v>
      </c>
      <c r="C22" s="30" t="s">
        <v>20</v>
      </c>
      <c r="D22" s="31" t="s">
        <v>300</v>
      </c>
      <c r="E22" s="31">
        <v>1</v>
      </c>
      <c r="F22" s="32" t="s">
        <v>257</v>
      </c>
      <c r="G22" s="32" t="s">
        <v>257</v>
      </c>
      <c r="H22" s="31" t="s">
        <v>301</v>
      </c>
      <c r="I22" s="31" t="s">
        <v>302</v>
      </c>
    </row>
    <row r="23" spans="1:9" ht="24.6" x14ac:dyDescent="0.55000000000000004">
      <c r="A23" s="30" t="s">
        <v>303</v>
      </c>
      <c r="B23" s="30" t="s">
        <v>166</v>
      </c>
      <c r="C23" s="30" t="s">
        <v>155</v>
      </c>
      <c r="D23" s="31" t="s">
        <v>167</v>
      </c>
      <c r="E23" s="31">
        <v>1</v>
      </c>
      <c r="F23" s="32" t="s">
        <v>257</v>
      </c>
      <c r="G23" s="32" t="s">
        <v>257</v>
      </c>
      <c r="H23" s="31" t="s">
        <v>304</v>
      </c>
      <c r="I23" s="31" t="s">
        <v>305</v>
      </c>
    </row>
    <row r="24" spans="1:9" ht="24.6" x14ac:dyDescent="0.55000000000000004">
      <c r="A24" s="30" t="s">
        <v>306</v>
      </c>
      <c r="B24" s="30" t="s">
        <v>112</v>
      </c>
      <c r="C24" s="30" t="s">
        <v>20</v>
      </c>
      <c r="D24" s="31" t="s">
        <v>307</v>
      </c>
      <c r="E24" s="31">
        <v>1</v>
      </c>
      <c r="F24" s="32" t="s">
        <v>257</v>
      </c>
      <c r="G24" s="32" t="s">
        <v>257</v>
      </c>
      <c r="H24" s="31" t="s">
        <v>308</v>
      </c>
      <c r="I24" s="31" t="s">
        <v>309</v>
      </c>
    </row>
    <row r="25" spans="1:9" x14ac:dyDescent="0.55000000000000004">
      <c r="A25" s="30" t="s">
        <v>310</v>
      </c>
      <c r="B25" s="30" t="s">
        <v>170</v>
      </c>
      <c r="C25" s="30" t="s">
        <v>20</v>
      </c>
      <c r="D25" s="31" t="s">
        <v>311</v>
      </c>
      <c r="E25" s="31">
        <v>1</v>
      </c>
      <c r="F25" s="32" t="s">
        <v>257</v>
      </c>
      <c r="G25" s="32" t="s">
        <v>257</v>
      </c>
      <c r="H25" s="31" t="s">
        <v>312</v>
      </c>
      <c r="I25" s="31" t="s">
        <v>313</v>
      </c>
    </row>
    <row r="26" spans="1:9" ht="24.6" x14ac:dyDescent="0.55000000000000004">
      <c r="A26" s="30" t="s">
        <v>314</v>
      </c>
      <c r="B26" s="30" t="s">
        <v>174</v>
      </c>
      <c r="C26" s="30" t="s">
        <v>155</v>
      </c>
      <c r="D26" s="31" t="s">
        <v>175</v>
      </c>
      <c r="E26" s="31">
        <v>1</v>
      </c>
      <c r="F26" s="32" t="s">
        <v>257</v>
      </c>
      <c r="G26" s="32" t="s">
        <v>257</v>
      </c>
      <c r="H26" s="31" t="s">
        <v>315</v>
      </c>
      <c r="I26" s="31" t="s">
        <v>316</v>
      </c>
    </row>
    <row r="27" spans="1:9" ht="24.6" hidden="1" x14ac:dyDescent="0.55000000000000004">
      <c r="A27" s="30" t="s">
        <v>317</v>
      </c>
      <c r="B27" s="30" t="s">
        <v>182</v>
      </c>
      <c r="C27" s="30" t="s">
        <v>155</v>
      </c>
      <c r="D27" s="31" t="s">
        <v>183</v>
      </c>
      <c r="E27" s="31">
        <v>0</v>
      </c>
      <c r="F27" s="32" t="s">
        <v>257</v>
      </c>
      <c r="G27" s="32" t="s">
        <v>257</v>
      </c>
      <c r="H27" s="31" t="s">
        <v>318</v>
      </c>
      <c r="I27" s="31" t="s">
        <v>319</v>
      </c>
    </row>
    <row r="28" spans="1:9" ht="24.6" x14ac:dyDescent="0.55000000000000004">
      <c r="A28" s="30" t="s">
        <v>320</v>
      </c>
      <c r="B28" s="30" t="s">
        <v>178</v>
      </c>
      <c r="C28" s="30" t="s">
        <v>155</v>
      </c>
      <c r="D28" s="31" t="s">
        <v>179</v>
      </c>
      <c r="E28" s="31">
        <v>1</v>
      </c>
      <c r="F28" s="32" t="s">
        <v>257</v>
      </c>
      <c r="G28" s="32" t="s">
        <v>257</v>
      </c>
      <c r="H28" s="31" t="s">
        <v>321</v>
      </c>
      <c r="I28" s="31" t="s">
        <v>322</v>
      </c>
    </row>
    <row r="29" spans="1:9" ht="24.6" hidden="1" x14ac:dyDescent="0.55000000000000004">
      <c r="A29" s="30" t="s">
        <v>323</v>
      </c>
      <c r="B29" s="30" t="s">
        <v>186</v>
      </c>
      <c r="C29" s="30" t="s">
        <v>155</v>
      </c>
      <c r="D29" s="31" t="s">
        <v>187</v>
      </c>
      <c r="E29" s="31">
        <v>0</v>
      </c>
      <c r="F29" s="32" t="s">
        <v>257</v>
      </c>
      <c r="G29" s="32" t="s">
        <v>257</v>
      </c>
      <c r="H29" s="31" t="s">
        <v>324</v>
      </c>
      <c r="I29" s="31" t="s">
        <v>325</v>
      </c>
    </row>
    <row r="30" spans="1:9" ht="24.6" hidden="1" x14ac:dyDescent="0.55000000000000004">
      <c r="A30" s="30" t="s">
        <v>326</v>
      </c>
      <c r="B30" s="30" t="s">
        <v>190</v>
      </c>
      <c r="C30" s="30" t="s">
        <v>155</v>
      </c>
      <c r="D30" s="31" t="s">
        <v>191</v>
      </c>
      <c r="E30" s="31">
        <v>0</v>
      </c>
      <c r="F30" s="32" t="s">
        <v>257</v>
      </c>
      <c r="G30" s="32" t="s">
        <v>257</v>
      </c>
      <c r="H30" s="31" t="s">
        <v>327</v>
      </c>
      <c r="I30" s="31" t="s">
        <v>325</v>
      </c>
    </row>
    <row r="31" spans="1:9" ht="24.6" hidden="1" x14ac:dyDescent="0.55000000000000004">
      <c r="A31" s="30" t="s">
        <v>328</v>
      </c>
      <c r="B31" s="30" t="s">
        <v>194</v>
      </c>
      <c r="C31" s="30" t="s">
        <v>155</v>
      </c>
      <c r="D31" s="31" t="s">
        <v>195</v>
      </c>
      <c r="E31" s="31">
        <v>0</v>
      </c>
      <c r="F31" s="32" t="s">
        <v>257</v>
      </c>
      <c r="G31" s="32" t="s">
        <v>257</v>
      </c>
      <c r="H31" s="31" t="s">
        <v>329</v>
      </c>
      <c r="I31" s="31" t="s">
        <v>325</v>
      </c>
    </row>
    <row r="32" spans="1:9" ht="24.6" x14ac:dyDescent="0.55000000000000004">
      <c r="A32" s="30" t="s">
        <v>330</v>
      </c>
      <c r="B32" s="30" t="s">
        <v>198</v>
      </c>
      <c r="C32" s="30" t="s">
        <v>20</v>
      </c>
      <c r="D32" s="31" t="s">
        <v>199</v>
      </c>
      <c r="E32" s="31">
        <v>1</v>
      </c>
      <c r="F32" s="32" t="s">
        <v>257</v>
      </c>
      <c r="G32" s="32" t="s">
        <v>257</v>
      </c>
      <c r="H32" s="31" t="s">
        <v>331</v>
      </c>
      <c r="I32" s="31" t="s">
        <v>332</v>
      </c>
    </row>
    <row r="33" spans="1:9" ht="24.6" hidden="1" x14ac:dyDescent="0.55000000000000004">
      <c r="A33" s="30" t="s">
        <v>333</v>
      </c>
      <c r="B33" s="30" t="s">
        <v>202</v>
      </c>
      <c r="C33" s="30" t="s">
        <v>155</v>
      </c>
      <c r="D33" s="31" t="s">
        <v>334</v>
      </c>
      <c r="E33" s="31">
        <v>0</v>
      </c>
      <c r="F33" s="32" t="s">
        <v>257</v>
      </c>
      <c r="G33" s="32" t="s">
        <v>257</v>
      </c>
      <c r="H33" s="31" t="s">
        <v>335</v>
      </c>
      <c r="I33" s="31" t="s">
        <v>336</v>
      </c>
    </row>
    <row r="34" spans="1:9" ht="24.6" hidden="1" x14ac:dyDescent="0.55000000000000004">
      <c r="A34" s="30" t="s">
        <v>337</v>
      </c>
      <c r="B34" s="30" t="s">
        <v>206</v>
      </c>
      <c r="C34" s="30" t="s">
        <v>155</v>
      </c>
      <c r="D34" s="31" t="s">
        <v>338</v>
      </c>
      <c r="E34" s="31">
        <v>0</v>
      </c>
      <c r="F34" s="32" t="s">
        <v>257</v>
      </c>
      <c r="G34" s="32" t="s">
        <v>257</v>
      </c>
      <c r="H34" s="31" t="s">
        <v>339</v>
      </c>
      <c r="I34" s="31" t="s">
        <v>336</v>
      </c>
    </row>
    <row r="35" spans="1:9" ht="24.6" x14ac:dyDescent="0.55000000000000004">
      <c r="A35" s="30" t="s">
        <v>340</v>
      </c>
      <c r="B35" s="30" t="s">
        <v>116</v>
      </c>
      <c r="C35" s="30" t="s">
        <v>20</v>
      </c>
      <c r="D35" s="31" t="s">
        <v>117</v>
      </c>
      <c r="E35" s="31">
        <v>1</v>
      </c>
      <c r="F35" s="32" t="s">
        <v>257</v>
      </c>
      <c r="G35" s="32" t="s">
        <v>257</v>
      </c>
      <c r="H35" s="31" t="s">
        <v>341</v>
      </c>
      <c r="I35" s="31" t="s">
        <v>342</v>
      </c>
    </row>
    <row r="36" spans="1:9" ht="24.6" x14ac:dyDescent="0.55000000000000004">
      <c r="A36" s="30" t="s">
        <v>343</v>
      </c>
      <c r="B36" s="30" t="s">
        <v>120</v>
      </c>
      <c r="C36" s="30" t="s">
        <v>20</v>
      </c>
      <c r="D36" s="31" t="s">
        <v>121</v>
      </c>
      <c r="E36" s="31">
        <v>1</v>
      </c>
      <c r="F36" s="32" t="s">
        <v>257</v>
      </c>
      <c r="G36" s="32" t="s">
        <v>257</v>
      </c>
      <c r="H36" s="31" t="s">
        <v>344</v>
      </c>
      <c r="I36" s="31" t="s">
        <v>345</v>
      </c>
    </row>
    <row r="37" spans="1:9" ht="24.6" x14ac:dyDescent="0.55000000000000004">
      <c r="A37" s="30" t="s">
        <v>346</v>
      </c>
      <c r="B37" s="30" t="s">
        <v>124</v>
      </c>
      <c r="C37" s="30" t="s">
        <v>20</v>
      </c>
      <c r="D37" s="31" t="s">
        <v>125</v>
      </c>
      <c r="E37" s="31">
        <v>1</v>
      </c>
      <c r="F37" s="32" t="s">
        <v>257</v>
      </c>
      <c r="G37" s="32" t="s">
        <v>257</v>
      </c>
      <c r="H37" s="31" t="s">
        <v>429</v>
      </c>
      <c r="I37" s="31" t="s">
        <v>345</v>
      </c>
    </row>
    <row r="38" spans="1:9" ht="24.6" hidden="1" x14ac:dyDescent="0.55000000000000004">
      <c r="A38" s="30" t="s">
        <v>348</v>
      </c>
      <c r="B38" s="30" t="s">
        <v>210</v>
      </c>
      <c r="C38" s="30" t="s">
        <v>110</v>
      </c>
      <c r="D38" s="31" t="s">
        <v>211</v>
      </c>
      <c r="E38" s="31">
        <v>0</v>
      </c>
      <c r="F38" s="32" t="s">
        <v>257</v>
      </c>
      <c r="G38" s="32" t="s">
        <v>257</v>
      </c>
      <c r="H38" s="31" t="s">
        <v>349</v>
      </c>
      <c r="I38" s="31" t="s">
        <v>350</v>
      </c>
    </row>
    <row r="39" spans="1:9" ht="24.6" x14ac:dyDescent="0.55000000000000004">
      <c r="A39" s="30" t="s">
        <v>351</v>
      </c>
      <c r="B39" s="30" t="s">
        <v>214</v>
      </c>
      <c r="C39" s="30" t="s">
        <v>155</v>
      </c>
      <c r="D39" s="31" t="s">
        <v>215</v>
      </c>
      <c r="E39" s="31">
        <v>1</v>
      </c>
      <c r="F39" s="32" t="s">
        <v>257</v>
      </c>
      <c r="G39" s="32" t="s">
        <v>257</v>
      </c>
      <c r="H39" s="31" t="s">
        <v>352</v>
      </c>
      <c r="I39" s="31" t="s">
        <v>353</v>
      </c>
    </row>
    <row r="40" spans="1:9" ht="36.9" x14ac:dyDescent="0.55000000000000004">
      <c r="A40" s="30" t="s">
        <v>354</v>
      </c>
      <c r="B40" s="30" t="s">
        <v>218</v>
      </c>
      <c r="C40" s="30" t="s">
        <v>20</v>
      </c>
      <c r="D40" s="31" t="s">
        <v>355</v>
      </c>
      <c r="E40" s="31">
        <v>1</v>
      </c>
      <c r="F40" s="33" t="s">
        <v>156</v>
      </c>
      <c r="G40" s="33" t="s">
        <v>356</v>
      </c>
      <c r="H40" s="31" t="s">
        <v>430</v>
      </c>
      <c r="I40" s="31" t="s">
        <v>358</v>
      </c>
    </row>
    <row r="41" spans="1:9" ht="49.2" x14ac:dyDescent="0.55000000000000004">
      <c r="A41" s="30" t="s">
        <v>359</v>
      </c>
      <c r="B41" s="30" t="s">
        <v>240</v>
      </c>
      <c r="C41" s="30" t="s">
        <v>155</v>
      </c>
      <c r="D41" s="31" t="s">
        <v>360</v>
      </c>
      <c r="E41" s="31">
        <v>1</v>
      </c>
      <c r="F41" s="33" t="s">
        <v>156</v>
      </c>
      <c r="G41" s="33" t="s">
        <v>156</v>
      </c>
      <c r="H41" s="31" t="s">
        <v>431</v>
      </c>
      <c r="I41" s="31" t="s">
        <v>362</v>
      </c>
    </row>
    <row r="42" spans="1:9" ht="24.6" x14ac:dyDescent="0.55000000000000004">
      <c r="A42" s="30" t="s">
        <v>226</v>
      </c>
      <c r="B42" s="30" t="s">
        <v>363</v>
      </c>
      <c r="C42" s="30" t="s">
        <v>20</v>
      </c>
      <c r="D42" s="31" t="s">
        <v>364</v>
      </c>
      <c r="E42" s="31">
        <v>1</v>
      </c>
      <c r="F42" s="33" t="s">
        <v>156</v>
      </c>
      <c r="G42" s="33" t="s">
        <v>156</v>
      </c>
      <c r="H42" s="31" t="s">
        <v>365</v>
      </c>
      <c r="I42" s="31" t="s">
        <v>366</v>
      </c>
    </row>
    <row r="43" spans="1:9" ht="36.9" x14ac:dyDescent="0.55000000000000004">
      <c r="A43" s="30" t="s">
        <v>232</v>
      </c>
      <c r="B43" s="30" t="s">
        <v>367</v>
      </c>
      <c r="C43" s="30" t="s">
        <v>155</v>
      </c>
      <c r="D43" s="31" t="s">
        <v>233</v>
      </c>
      <c r="E43" s="31">
        <v>1</v>
      </c>
      <c r="F43" s="33" t="s">
        <v>156</v>
      </c>
      <c r="G43" s="33" t="s">
        <v>156</v>
      </c>
      <c r="H43" s="31" t="s">
        <v>368</v>
      </c>
      <c r="I43" s="31" t="s">
        <v>369</v>
      </c>
    </row>
    <row r="44" spans="1:9" ht="24.6" x14ac:dyDescent="0.55000000000000004">
      <c r="A44" s="30" t="s">
        <v>236</v>
      </c>
      <c r="B44" s="30" t="s">
        <v>370</v>
      </c>
      <c r="C44" s="30" t="s">
        <v>20</v>
      </c>
      <c r="D44" s="31" t="s">
        <v>371</v>
      </c>
      <c r="E44" s="31">
        <v>1</v>
      </c>
      <c r="F44" s="33" t="s">
        <v>156</v>
      </c>
      <c r="G44" s="33" t="s">
        <v>372</v>
      </c>
      <c r="H44" s="31" t="s">
        <v>373</v>
      </c>
      <c r="I44" s="31" t="s">
        <v>374</v>
      </c>
    </row>
    <row r="45" spans="1:9" ht="24.6" x14ac:dyDescent="0.55000000000000004">
      <c r="A45" s="30" t="s">
        <v>375</v>
      </c>
      <c r="B45" s="30" t="s">
        <v>103</v>
      </c>
      <c r="C45" s="30" t="s">
        <v>20</v>
      </c>
      <c r="D45" s="31" t="s">
        <v>376</v>
      </c>
      <c r="E45" s="31">
        <v>1</v>
      </c>
      <c r="F45" s="34" t="s">
        <v>377</v>
      </c>
      <c r="G45" s="34" t="s">
        <v>378</v>
      </c>
      <c r="H45" s="31" t="s">
        <v>379</v>
      </c>
      <c r="I45" s="31" t="s">
        <v>380</v>
      </c>
    </row>
    <row r="46" spans="1:9" ht="24.6" x14ac:dyDescent="0.55000000000000004">
      <c r="A46" s="30" t="s">
        <v>381</v>
      </c>
      <c r="B46" s="30" t="s">
        <v>93</v>
      </c>
      <c r="C46" s="30" t="s">
        <v>20</v>
      </c>
      <c r="D46" s="31" t="s">
        <v>94</v>
      </c>
      <c r="E46" s="31">
        <v>1</v>
      </c>
      <c r="F46" s="34" t="s">
        <v>377</v>
      </c>
      <c r="G46" s="34" t="s">
        <v>382</v>
      </c>
      <c r="H46" s="31" t="s">
        <v>383</v>
      </c>
      <c r="I46" s="31" t="s">
        <v>384</v>
      </c>
    </row>
    <row r="47" spans="1:9" ht="24.6" x14ac:dyDescent="0.55000000000000004">
      <c r="A47" s="30" t="s">
        <v>385</v>
      </c>
      <c r="B47" s="30" t="s">
        <v>99</v>
      </c>
      <c r="C47" s="30" t="s">
        <v>20</v>
      </c>
      <c r="D47" s="31" t="s">
        <v>100</v>
      </c>
      <c r="E47" s="31">
        <v>1</v>
      </c>
      <c r="F47" s="34" t="s">
        <v>377</v>
      </c>
      <c r="G47" s="34" t="s">
        <v>382</v>
      </c>
      <c r="H47" s="31" t="s">
        <v>386</v>
      </c>
      <c r="I47" s="31" t="s">
        <v>387</v>
      </c>
    </row>
    <row r="48" spans="1:9" x14ac:dyDescent="0.55000000000000004">
      <c r="A48" s="30" t="s">
        <v>388</v>
      </c>
      <c r="B48" s="30" t="s">
        <v>132</v>
      </c>
      <c r="C48" s="30" t="s">
        <v>20</v>
      </c>
      <c r="D48" s="31" t="s">
        <v>133</v>
      </c>
      <c r="E48" s="31">
        <v>1</v>
      </c>
      <c r="F48" s="34" t="s">
        <v>377</v>
      </c>
      <c r="G48" s="34" t="s">
        <v>382</v>
      </c>
      <c r="H48" s="31" t="s">
        <v>389</v>
      </c>
      <c r="I48" s="31" t="s">
        <v>390</v>
      </c>
    </row>
    <row r="49" spans="1:9" x14ac:dyDescent="0.55000000000000004">
      <c r="A49" s="30" t="s">
        <v>391</v>
      </c>
      <c r="B49" s="30" t="s">
        <v>136</v>
      </c>
      <c r="C49" s="30" t="s">
        <v>20</v>
      </c>
      <c r="D49" s="31" t="s">
        <v>137</v>
      </c>
      <c r="E49" s="31">
        <v>1</v>
      </c>
      <c r="F49" s="34" t="s">
        <v>377</v>
      </c>
      <c r="G49" s="34" t="s">
        <v>382</v>
      </c>
      <c r="H49" s="31" t="s">
        <v>392</v>
      </c>
      <c r="I49" s="31" t="s">
        <v>393</v>
      </c>
    </row>
    <row r="50" spans="1:9" x14ac:dyDescent="0.55000000000000004">
      <c r="A50" s="30" t="s">
        <v>394</v>
      </c>
      <c r="B50" s="30" t="s">
        <v>140</v>
      </c>
      <c r="C50" s="30" t="s">
        <v>20</v>
      </c>
      <c r="D50" s="31" t="s">
        <v>141</v>
      </c>
      <c r="E50" s="31">
        <v>1</v>
      </c>
      <c r="F50" s="34" t="s">
        <v>377</v>
      </c>
      <c r="G50" s="34" t="s">
        <v>382</v>
      </c>
      <c r="H50" s="31" t="s">
        <v>395</v>
      </c>
      <c r="I50" s="31" t="s">
        <v>393</v>
      </c>
    </row>
    <row r="51" spans="1:9" hidden="1" x14ac:dyDescent="0.55000000000000004">
      <c r="A51" s="30" t="s">
        <v>396</v>
      </c>
      <c r="B51" s="30" t="s">
        <v>144</v>
      </c>
      <c r="C51" s="30" t="s">
        <v>20</v>
      </c>
      <c r="D51" s="31" t="s">
        <v>145</v>
      </c>
      <c r="E51" s="31">
        <v>0</v>
      </c>
      <c r="F51" s="34" t="s">
        <v>377</v>
      </c>
      <c r="G51" s="34" t="s">
        <v>382</v>
      </c>
      <c r="H51" s="31" t="s">
        <v>397</v>
      </c>
      <c r="I51" s="31" t="s">
        <v>398</v>
      </c>
    </row>
    <row r="52" spans="1:9" ht="24.6" x14ac:dyDescent="0.55000000000000004">
      <c r="A52" s="30" t="s">
        <v>399</v>
      </c>
      <c r="B52" s="30" t="s">
        <v>148</v>
      </c>
      <c r="C52" s="30" t="s">
        <v>20</v>
      </c>
      <c r="D52" s="31" t="s">
        <v>149</v>
      </c>
      <c r="E52" s="31">
        <v>1</v>
      </c>
      <c r="F52" s="34" t="s">
        <v>377</v>
      </c>
      <c r="G52" s="34" t="s">
        <v>382</v>
      </c>
      <c r="H52" s="31" t="s">
        <v>400</v>
      </c>
      <c r="I52" s="31" t="s">
        <v>401</v>
      </c>
    </row>
    <row r="53" spans="1:9" ht="24.6" hidden="1" x14ac:dyDescent="0.55000000000000004">
      <c r="A53" s="30" t="s">
        <v>402</v>
      </c>
      <c r="B53" s="30" t="s">
        <v>152</v>
      </c>
      <c r="C53" s="30" t="s">
        <v>274</v>
      </c>
      <c r="D53" s="31" t="s">
        <v>403</v>
      </c>
      <c r="E53" s="31">
        <v>0</v>
      </c>
      <c r="F53" s="34" t="s">
        <v>377</v>
      </c>
      <c r="G53" s="34" t="s">
        <v>382</v>
      </c>
      <c r="H53" s="31" t="s">
        <v>404</v>
      </c>
      <c r="I53" s="31" t="s">
        <v>405</v>
      </c>
    </row>
    <row r="54" spans="1:9" x14ac:dyDescent="0.55000000000000004">
      <c r="A54" s="30" t="s">
        <v>406</v>
      </c>
      <c r="B54" s="30" t="s">
        <v>162</v>
      </c>
      <c r="C54" s="30" t="s">
        <v>20</v>
      </c>
      <c r="D54" s="31" t="s">
        <v>163</v>
      </c>
      <c r="E54" s="31">
        <v>1</v>
      </c>
      <c r="F54" s="34" t="s">
        <v>377</v>
      </c>
      <c r="G54" s="34" t="s">
        <v>382</v>
      </c>
      <c r="H54" s="31" t="s">
        <v>407</v>
      </c>
      <c r="I54" s="31" t="s">
        <v>390</v>
      </c>
    </row>
  </sheetData>
  <autoFilter ref="A3:I54" xr:uid="{00000000-0009-0000-0000-000002000000}">
    <filterColumn colId="4">
      <filters>
        <filter val="1"/>
      </filters>
    </filterColumn>
  </autoFilter>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pane ySplit="3" topLeftCell="A4" activePane="bottomLeft" state="frozen"/>
      <selection pane="bottomLeft" activeCell="E36" sqref="E36"/>
    </sheetView>
  </sheetViews>
  <sheetFormatPr defaultColWidth="8.68359375" defaultRowHeight="14.4" x14ac:dyDescent="0.55000000000000004"/>
  <cols>
    <col min="1" max="1" width="9" customWidth="1"/>
    <col min="2" max="2" width="13" customWidth="1"/>
    <col min="3" max="3" width="9" customWidth="1"/>
    <col min="4" max="4" width="34" customWidth="1"/>
    <col min="5" max="5" width="10.83984375" customWidth="1"/>
    <col min="6" max="6" width="11" customWidth="1"/>
    <col min="7" max="7" width="13" customWidth="1"/>
    <col min="8" max="8" width="72" customWidth="1"/>
    <col min="9" max="9" width="30" customWidth="1"/>
  </cols>
  <sheetData>
    <row r="1" spans="1:9" ht="17.7" x14ac:dyDescent="0.6">
      <c r="A1" s="1" t="s">
        <v>248</v>
      </c>
    </row>
    <row r="2" spans="1:9" x14ac:dyDescent="0.55000000000000004">
      <c r="A2" s="28" t="s">
        <v>249</v>
      </c>
    </row>
    <row r="3" spans="1:9" ht="28.2" x14ac:dyDescent="0.55000000000000004">
      <c r="A3" s="29" t="s">
        <v>250</v>
      </c>
      <c r="B3" s="29" t="s">
        <v>251</v>
      </c>
      <c r="C3" s="29" t="s">
        <v>3</v>
      </c>
      <c r="D3" s="29" t="s">
        <v>252</v>
      </c>
      <c r="E3" s="29" t="s">
        <v>428</v>
      </c>
      <c r="F3" s="29" t="s">
        <v>253</v>
      </c>
      <c r="G3" s="29" t="s">
        <v>5</v>
      </c>
      <c r="H3" s="29" t="s">
        <v>254</v>
      </c>
      <c r="I3" s="29" t="s">
        <v>255</v>
      </c>
    </row>
    <row r="4" spans="1:9" ht="24.6" x14ac:dyDescent="0.55000000000000004">
      <c r="A4" s="30" t="s">
        <v>17</v>
      </c>
      <c r="B4" s="30" t="s">
        <v>256</v>
      </c>
      <c r="C4" s="30" t="s">
        <v>20</v>
      </c>
      <c r="D4" s="31" t="s">
        <v>18</v>
      </c>
      <c r="E4" s="31">
        <v>1</v>
      </c>
      <c r="F4" s="32" t="s">
        <v>257</v>
      </c>
      <c r="G4" s="32" t="s">
        <v>257</v>
      </c>
      <c r="H4" s="31" t="s">
        <v>258</v>
      </c>
      <c r="I4" s="31" t="s">
        <v>259</v>
      </c>
    </row>
    <row r="5" spans="1:9" ht="24.6" x14ac:dyDescent="0.55000000000000004">
      <c r="A5" s="30" t="s">
        <v>27</v>
      </c>
      <c r="B5" s="30" t="s">
        <v>256</v>
      </c>
      <c r="C5" s="30" t="s">
        <v>20</v>
      </c>
      <c r="D5" s="31" t="s">
        <v>28</v>
      </c>
      <c r="E5" s="31">
        <v>1</v>
      </c>
      <c r="F5" s="32" t="s">
        <v>257</v>
      </c>
      <c r="G5" s="32" t="s">
        <v>257</v>
      </c>
      <c r="H5" s="31" t="s">
        <v>260</v>
      </c>
      <c r="I5" s="31" t="s">
        <v>256</v>
      </c>
    </row>
    <row r="6" spans="1:9" ht="24.6" x14ac:dyDescent="0.55000000000000004">
      <c r="A6" s="30" t="s">
        <v>31</v>
      </c>
      <c r="B6" s="30" t="s">
        <v>256</v>
      </c>
      <c r="C6" s="30" t="s">
        <v>20</v>
      </c>
      <c r="D6" s="31" t="s">
        <v>32</v>
      </c>
      <c r="E6" s="31">
        <v>1</v>
      </c>
      <c r="F6" s="32" t="s">
        <v>257</v>
      </c>
      <c r="G6" s="32" t="s">
        <v>257</v>
      </c>
      <c r="H6" s="31" t="s">
        <v>261</v>
      </c>
      <c r="I6" s="31" t="s">
        <v>256</v>
      </c>
    </row>
    <row r="7" spans="1:9" ht="24.6" x14ac:dyDescent="0.55000000000000004">
      <c r="A7" s="30" t="s">
        <v>37</v>
      </c>
      <c r="B7" s="30" t="s">
        <v>256</v>
      </c>
      <c r="C7" s="30" t="s">
        <v>20</v>
      </c>
      <c r="D7" s="31" t="s">
        <v>38</v>
      </c>
      <c r="E7" s="31">
        <v>1</v>
      </c>
      <c r="F7" s="32" t="s">
        <v>257</v>
      </c>
      <c r="G7" s="32" t="s">
        <v>257</v>
      </c>
      <c r="H7" s="31" t="s">
        <v>262</v>
      </c>
      <c r="I7" s="31" t="s">
        <v>256</v>
      </c>
    </row>
    <row r="8" spans="1:9" ht="24.6" x14ac:dyDescent="0.55000000000000004">
      <c r="A8" s="30" t="s">
        <v>41</v>
      </c>
      <c r="B8" s="30" t="s">
        <v>256</v>
      </c>
      <c r="C8" s="30" t="s">
        <v>20</v>
      </c>
      <c r="D8" s="31" t="s">
        <v>263</v>
      </c>
      <c r="E8" s="31">
        <v>1</v>
      </c>
      <c r="F8" s="32" t="s">
        <v>257</v>
      </c>
      <c r="G8" s="32" t="s">
        <v>257</v>
      </c>
      <c r="H8" s="31" t="s">
        <v>264</v>
      </c>
      <c r="I8" s="31" t="s">
        <v>256</v>
      </c>
    </row>
    <row r="9" spans="1:9" ht="24.6" x14ac:dyDescent="0.55000000000000004">
      <c r="A9" s="30" t="s">
        <v>45</v>
      </c>
      <c r="B9" s="30" t="s">
        <v>256</v>
      </c>
      <c r="C9" s="30" t="s">
        <v>20</v>
      </c>
      <c r="D9" s="31" t="s">
        <v>46</v>
      </c>
      <c r="E9" s="31">
        <v>1</v>
      </c>
      <c r="F9" s="32" t="s">
        <v>257</v>
      </c>
      <c r="G9" s="32" t="s">
        <v>257</v>
      </c>
      <c r="H9" s="31" t="s">
        <v>265</v>
      </c>
      <c r="I9" s="31" t="s">
        <v>256</v>
      </c>
    </row>
    <row r="10" spans="1:9" ht="24.6" x14ac:dyDescent="0.55000000000000004">
      <c r="A10" s="30" t="s">
        <v>49</v>
      </c>
      <c r="B10" s="30" t="s">
        <v>256</v>
      </c>
      <c r="C10" s="30" t="s">
        <v>20</v>
      </c>
      <c r="D10" s="31" t="s">
        <v>50</v>
      </c>
      <c r="E10" s="31">
        <v>1</v>
      </c>
      <c r="F10" s="32" t="s">
        <v>257</v>
      </c>
      <c r="G10" s="32" t="s">
        <v>257</v>
      </c>
      <c r="H10" s="31" t="s">
        <v>266</v>
      </c>
      <c r="I10" s="31" t="s">
        <v>256</v>
      </c>
    </row>
    <row r="11" spans="1:9" ht="24.6" x14ac:dyDescent="0.55000000000000004">
      <c r="A11" s="30" t="s">
        <v>53</v>
      </c>
      <c r="B11" s="30" t="s">
        <v>256</v>
      </c>
      <c r="C11" s="30" t="s">
        <v>20</v>
      </c>
      <c r="D11" s="31" t="s">
        <v>54</v>
      </c>
      <c r="E11" s="31">
        <v>1</v>
      </c>
      <c r="F11" s="32" t="s">
        <v>257</v>
      </c>
      <c r="G11" s="32" t="s">
        <v>257</v>
      </c>
      <c r="H11" s="31" t="s">
        <v>267</v>
      </c>
      <c r="I11" s="31" t="s">
        <v>256</v>
      </c>
    </row>
    <row r="12" spans="1:9" ht="24.6" x14ac:dyDescent="0.55000000000000004">
      <c r="A12" s="30" t="s">
        <v>58</v>
      </c>
      <c r="B12" s="30" t="s">
        <v>256</v>
      </c>
      <c r="C12" s="30" t="s">
        <v>20</v>
      </c>
      <c r="D12" s="31" t="s">
        <v>59</v>
      </c>
      <c r="E12" s="31">
        <v>1</v>
      </c>
      <c r="F12" s="32" t="s">
        <v>257</v>
      </c>
      <c r="G12" s="32" t="s">
        <v>257</v>
      </c>
      <c r="H12" s="31" t="s">
        <v>268</v>
      </c>
      <c r="I12" s="31" t="s">
        <v>256</v>
      </c>
    </row>
    <row r="13" spans="1:9" ht="24.6" x14ac:dyDescent="0.55000000000000004">
      <c r="A13" s="30" t="s">
        <v>62</v>
      </c>
      <c r="B13" s="30" t="s">
        <v>256</v>
      </c>
      <c r="C13" s="30" t="s">
        <v>20</v>
      </c>
      <c r="D13" s="31" t="s">
        <v>269</v>
      </c>
      <c r="E13" s="31">
        <v>0</v>
      </c>
      <c r="F13" s="32" t="s">
        <v>257</v>
      </c>
      <c r="G13" s="32" t="s">
        <v>257</v>
      </c>
      <c r="H13" s="31" t="s">
        <v>270</v>
      </c>
      <c r="I13" s="31" t="s">
        <v>256</v>
      </c>
    </row>
    <row r="14" spans="1:9" ht="24.6" x14ac:dyDescent="0.55000000000000004">
      <c r="A14" s="30" t="s">
        <v>66</v>
      </c>
      <c r="B14" s="30" t="s">
        <v>256</v>
      </c>
      <c r="C14" s="30" t="s">
        <v>20</v>
      </c>
      <c r="D14" s="31" t="s">
        <v>271</v>
      </c>
      <c r="E14" s="31">
        <v>1</v>
      </c>
      <c r="F14" s="32" t="s">
        <v>257</v>
      </c>
      <c r="G14" s="32" t="s">
        <v>257</v>
      </c>
      <c r="H14" s="31" t="s">
        <v>272</v>
      </c>
      <c r="I14" s="31" t="s">
        <v>256</v>
      </c>
    </row>
    <row r="15" spans="1:9" ht="24.6" x14ac:dyDescent="0.55000000000000004">
      <c r="A15" s="30" t="s">
        <v>273</v>
      </c>
      <c r="B15" s="30" t="s">
        <v>128</v>
      </c>
      <c r="C15" s="30" t="s">
        <v>274</v>
      </c>
      <c r="D15" s="31" t="s">
        <v>275</v>
      </c>
      <c r="E15" s="31">
        <v>1</v>
      </c>
      <c r="F15" s="32" t="s">
        <v>257</v>
      </c>
      <c r="G15" s="32" t="s">
        <v>257</v>
      </c>
      <c r="H15" s="31" t="s">
        <v>276</v>
      </c>
      <c r="I15" s="31" t="s">
        <v>277</v>
      </c>
    </row>
    <row r="16" spans="1:9" ht="24.6" x14ac:dyDescent="0.55000000000000004">
      <c r="A16" s="30" t="s">
        <v>278</v>
      </c>
      <c r="B16" s="30" t="s">
        <v>222</v>
      </c>
      <c r="C16" s="30" t="s">
        <v>274</v>
      </c>
      <c r="D16" s="31" t="s">
        <v>279</v>
      </c>
      <c r="E16" s="31">
        <v>0</v>
      </c>
      <c r="F16" s="32" t="s">
        <v>257</v>
      </c>
      <c r="G16" s="32" t="s">
        <v>257</v>
      </c>
      <c r="H16" s="31" t="s">
        <v>280</v>
      </c>
      <c r="I16" s="31" t="s">
        <v>281</v>
      </c>
    </row>
    <row r="17" spans="1:9" ht="24.6" x14ac:dyDescent="0.55000000000000004">
      <c r="A17" s="30" t="s">
        <v>282</v>
      </c>
      <c r="B17" s="30" t="s">
        <v>158</v>
      </c>
      <c r="C17" s="30" t="s">
        <v>20</v>
      </c>
      <c r="D17" s="31" t="s">
        <v>283</v>
      </c>
      <c r="E17" s="31">
        <v>0</v>
      </c>
      <c r="F17" s="32" t="s">
        <v>257</v>
      </c>
      <c r="G17" s="32" t="s">
        <v>257</v>
      </c>
      <c r="H17" s="31" t="s">
        <v>284</v>
      </c>
      <c r="I17" s="31" t="s">
        <v>285</v>
      </c>
    </row>
    <row r="18" spans="1:9" ht="24.6" x14ac:dyDescent="0.55000000000000004">
      <c r="A18" s="30" t="s">
        <v>286</v>
      </c>
      <c r="B18" s="30" t="s">
        <v>107</v>
      </c>
      <c r="C18" s="30" t="s">
        <v>110</v>
      </c>
      <c r="D18" s="31" t="s">
        <v>108</v>
      </c>
      <c r="E18" s="31">
        <v>1</v>
      </c>
      <c r="F18" s="32" t="s">
        <v>257</v>
      </c>
      <c r="G18" s="32" t="s">
        <v>257</v>
      </c>
      <c r="H18" s="31" t="s">
        <v>287</v>
      </c>
      <c r="I18" s="31" t="s">
        <v>288</v>
      </c>
    </row>
    <row r="19" spans="1:9" ht="24.6" x14ac:dyDescent="0.55000000000000004">
      <c r="A19" s="30" t="s">
        <v>289</v>
      </c>
      <c r="B19" s="30" t="s">
        <v>85</v>
      </c>
      <c r="C19" s="30" t="s">
        <v>20</v>
      </c>
      <c r="D19" s="31" t="s">
        <v>290</v>
      </c>
      <c r="E19" s="31">
        <v>1</v>
      </c>
      <c r="F19" s="32" t="s">
        <v>257</v>
      </c>
      <c r="G19" s="32" t="s">
        <v>257</v>
      </c>
      <c r="H19" s="31" t="s">
        <v>291</v>
      </c>
      <c r="I19" s="31" t="s">
        <v>292</v>
      </c>
    </row>
    <row r="20" spans="1:9" ht="24.6" x14ac:dyDescent="0.55000000000000004">
      <c r="A20" s="30" t="s">
        <v>293</v>
      </c>
      <c r="B20" s="30" t="s">
        <v>81</v>
      </c>
      <c r="C20" s="30" t="s">
        <v>20</v>
      </c>
      <c r="D20" s="31" t="s">
        <v>82</v>
      </c>
      <c r="E20" s="31">
        <v>1</v>
      </c>
      <c r="F20" s="32" t="s">
        <v>257</v>
      </c>
      <c r="G20" s="32" t="s">
        <v>257</v>
      </c>
      <c r="H20" s="31" t="s">
        <v>294</v>
      </c>
      <c r="I20" s="31" t="s">
        <v>295</v>
      </c>
    </row>
    <row r="21" spans="1:9" ht="24.6" x14ac:dyDescent="0.55000000000000004">
      <c r="A21" s="30" t="s">
        <v>296</v>
      </c>
      <c r="B21" s="30" t="s">
        <v>89</v>
      </c>
      <c r="C21" s="30" t="s">
        <v>20</v>
      </c>
      <c r="D21" s="31" t="s">
        <v>90</v>
      </c>
      <c r="E21" s="31">
        <v>1</v>
      </c>
      <c r="F21" s="32" t="s">
        <v>257</v>
      </c>
      <c r="G21" s="32" t="s">
        <v>257</v>
      </c>
      <c r="H21" s="31" t="s">
        <v>297</v>
      </c>
      <c r="I21" s="31" t="s">
        <v>298</v>
      </c>
    </row>
    <row r="22" spans="1:9" ht="24.6" x14ac:dyDescent="0.55000000000000004">
      <c r="A22" s="30" t="s">
        <v>299</v>
      </c>
      <c r="B22" s="30" t="s">
        <v>77</v>
      </c>
      <c r="C22" s="30" t="s">
        <v>20</v>
      </c>
      <c r="D22" s="31" t="s">
        <v>300</v>
      </c>
      <c r="E22" s="31">
        <v>1</v>
      </c>
      <c r="F22" s="32" t="s">
        <v>257</v>
      </c>
      <c r="G22" s="32" t="s">
        <v>257</v>
      </c>
      <c r="H22" s="31" t="s">
        <v>301</v>
      </c>
      <c r="I22" s="31" t="s">
        <v>302</v>
      </c>
    </row>
    <row r="23" spans="1:9" ht="24.6" x14ac:dyDescent="0.55000000000000004">
      <c r="A23" s="30" t="s">
        <v>303</v>
      </c>
      <c r="B23" s="30" t="s">
        <v>166</v>
      </c>
      <c r="C23" s="30" t="s">
        <v>155</v>
      </c>
      <c r="D23" s="31" t="s">
        <v>167</v>
      </c>
      <c r="E23" s="31">
        <v>1</v>
      </c>
      <c r="F23" s="32" t="s">
        <v>257</v>
      </c>
      <c r="G23" s="32" t="s">
        <v>257</v>
      </c>
      <c r="H23" s="31" t="s">
        <v>304</v>
      </c>
      <c r="I23" s="31" t="s">
        <v>305</v>
      </c>
    </row>
    <row r="24" spans="1:9" ht="24.6" x14ac:dyDescent="0.55000000000000004">
      <c r="A24" s="30" t="s">
        <v>306</v>
      </c>
      <c r="B24" s="30" t="s">
        <v>112</v>
      </c>
      <c r="C24" s="30" t="s">
        <v>20</v>
      </c>
      <c r="D24" s="31" t="s">
        <v>307</v>
      </c>
      <c r="E24" s="31"/>
      <c r="F24" s="32" t="s">
        <v>257</v>
      </c>
      <c r="G24" s="32" t="s">
        <v>257</v>
      </c>
      <c r="H24" s="31" t="s">
        <v>308</v>
      </c>
      <c r="I24" s="31" t="s">
        <v>309</v>
      </c>
    </row>
    <row r="25" spans="1:9" x14ac:dyDescent="0.55000000000000004">
      <c r="A25" s="30" t="s">
        <v>310</v>
      </c>
      <c r="B25" s="30" t="s">
        <v>170</v>
      </c>
      <c r="C25" s="30" t="s">
        <v>20</v>
      </c>
      <c r="D25" s="31" t="s">
        <v>311</v>
      </c>
      <c r="E25" s="31"/>
      <c r="F25" s="32" t="s">
        <v>257</v>
      </c>
      <c r="G25" s="32" t="s">
        <v>257</v>
      </c>
      <c r="H25" s="31" t="s">
        <v>312</v>
      </c>
      <c r="I25" s="31" t="s">
        <v>313</v>
      </c>
    </row>
    <row r="26" spans="1:9" ht="24.6" x14ac:dyDescent="0.55000000000000004">
      <c r="A26" s="30" t="s">
        <v>314</v>
      </c>
      <c r="B26" s="30" t="s">
        <v>174</v>
      </c>
      <c r="C26" s="30" t="s">
        <v>155</v>
      </c>
      <c r="D26" s="31" t="s">
        <v>175</v>
      </c>
      <c r="E26" s="31"/>
      <c r="F26" s="32" t="s">
        <v>257</v>
      </c>
      <c r="G26" s="32" t="s">
        <v>257</v>
      </c>
      <c r="H26" s="31" t="s">
        <v>315</v>
      </c>
      <c r="I26" s="31" t="s">
        <v>316</v>
      </c>
    </row>
    <row r="27" spans="1:9" ht="24.6" x14ac:dyDescent="0.55000000000000004">
      <c r="A27" s="30" t="s">
        <v>317</v>
      </c>
      <c r="B27" s="30" t="s">
        <v>182</v>
      </c>
      <c r="C27" s="30" t="s">
        <v>155</v>
      </c>
      <c r="D27" s="31" t="s">
        <v>183</v>
      </c>
      <c r="E27" s="31"/>
      <c r="F27" s="32" t="s">
        <v>257</v>
      </c>
      <c r="G27" s="32" t="s">
        <v>257</v>
      </c>
      <c r="H27" s="31" t="s">
        <v>318</v>
      </c>
      <c r="I27" s="31" t="s">
        <v>319</v>
      </c>
    </row>
    <row r="28" spans="1:9" ht="24.6" x14ac:dyDescent="0.55000000000000004">
      <c r="A28" s="30" t="s">
        <v>320</v>
      </c>
      <c r="B28" s="30" t="s">
        <v>178</v>
      </c>
      <c r="C28" s="30" t="s">
        <v>155</v>
      </c>
      <c r="D28" s="31" t="s">
        <v>179</v>
      </c>
      <c r="E28" s="31"/>
      <c r="F28" s="32" t="s">
        <v>257</v>
      </c>
      <c r="G28" s="32" t="s">
        <v>257</v>
      </c>
      <c r="H28" s="31" t="s">
        <v>321</v>
      </c>
      <c r="I28" s="31" t="s">
        <v>322</v>
      </c>
    </row>
    <row r="29" spans="1:9" ht="24.6" x14ac:dyDescent="0.55000000000000004">
      <c r="A29" s="30" t="s">
        <v>323</v>
      </c>
      <c r="B29" s="30" t="s">
        <v>186</v>
      </c>
      <c r="C29" s="30" t="s">
        <v>155</v>
      </c>
      <c r="D29" s="31" t="s">
        <v>187</v>
      </c>
      <c r="E29" s="31"/>
      <c r="F29" s="32" t="s">
        <v>257</v>
      </c>
      <c r="G29" s="32" t="s">
        <v>257</v>
      </c>
      <c r="H29" s="31" t="s">
        <v>324</v>
      </c>
      <c r="I29" s="31" t="s">
        <v>325</v>
      </c>
    </row>
    <row r="30" spans="1:9" x14ac:dyDescent="0.55000000000000004">
      <c r="A30" s="30" t="s">
        <v>326</v>
      </c>
      <c r="B30" s="30" t="s">
        <v>190</v>
      </c>
      <c r="C30" s="30" t="s">
        <v>155</v>
      </c>
      <c r="D30" s="31" t="s">
        <v>191</v>
      </c>
      <c r="E30" s="31"/>
      <c r="F30" s="32" t="s">
        <v>257</v>
      </c>
      <c r="G30" s="32" t="s">
        <v>257</v>
      </c>
      <c r="H30" s="31" t="s">
        <v>327</v>
      </c>
      <c r="I30" s="31" t="s">
        <v>325</v>
      </c>
    </row>
    <row r="31" spans="1:9" ht="24.6" x14ac:dyDescent="0.55000000000000004">
      <c r="A31" s="30" t="s">
        <v>328</v>
      </c>
      <c r="B31" s="30" t="s">
        <v>194</v>
      </c>
      <c r="C31" s="30" t="s">
        <v>155</v>
      </c>
      <c r="D31" s="31" t="s">
        <v>195</v>
      </c>
      <c r="E31" s="31"/>
      <c r="F31" s="32" t="s">
        <v>257</v>
      </c>
      <c r="G31" s="32" t="s">
        <v>257</v>
      </c>
      <c r="H31" s="31" t="s">
        <v>329</v>
      </c>
      <c r="I31" s="31" t="s">
        <v>325</v>
      </c>
    </row>
    <row r="32" spans="1:9" ht="24.6" x14ac:dyDescent="0.55000000000000004">
      <c r="A32" s="30" t="s">
        <v>330</v>
      </c>
      <c r="B32" s="30" t="s">
        <v>198</v>
      </c>
      <c r="C32" s="30" t="s">
        <v>20</v>
      </c>
      <c r="D32" s="31" t="s">
        <v>199</v>
      </c>
      <c r="E32" s="31"/>
      <c r="F32" s="32" t="s">
        <v>257</v>
      </c>
      <c r="G32" s="32" t="s">
        <v>257</v>
      </c>
      <c r="H32" s="31" t="s">
        <v>331</v>
      </c>
      <c r="I32" s="31" t="s">
        <v>332</v>
      </c>
    </row>
    <row r="33" spans="1:9" ht="24.6" x14ac:dyDescent="0.55000000000000004">
      <c r="A33" s="30" t="s">
        <v>333</v>
      </c>
      <c r="B33" s="30" t="s">
        <v>202</v>
      </c>
      <c r="C33" s="30" t="s">
        <v>155</v>
      </c>
      <c r="D33" s="31" t="s">
        <v>334</v>
      </c>
      <c r="E33" s="31"/>
      <c r="F33" s="32" t="s">
        <v>257</v>
      </c>
      <c r="G33" s="32" t="s">
        <v>257</v>
      </c>
      <c r="H33" s="31" t="s">
        <v>335</v>
      </c>
      <c r="I33" s="31" t="s">
        <v>336</v>
      </c>
    </row>
    <row r="34" spans="1:9" ht="24.6" x14ac:dyDescent="0.55000000000000004">
      <c r="A34" s="30" t="s">
        <v>337</v>
      </c>
      <c r="B34" s="30" t="s">
        <v>206</v>
      </c>
      <c r="C34" s="30" t="s">
        <v>155</v>
      </c>
      <c r="D34" s="31" t="s">
        <v>338</v>
      </c>
      <c r="E34" s="31"/>
      <c r="F34" s="32" t="s">
        <v>257</v>
      </c>
      <c r="G34" s="32" t="s">
        <v>257</v>
      </c>
      <c r="H34" s="31" t="s">
        <v>339</v>
      </c>
      <c r="I34" s="31" t="s">
        <v>336</v>
      </c>
    </row>
    <row r="35" spans="1:9" ht="24.6" x14ac:dyDescent="0.55000000000000004">
      <c r="A35" s="30" t="s">
        <v>340</v>
      </c>
      <c r="B35" s="30" t="s">
        <v>116</v>
      </c>
      <c r="C35" s="30" t="s">
        <v>20</v>
      </c>
      <c r="D35" s="31" t="s">
        <v>117</v>
      </c>
      <c r="E35" s="31"/>
      <c r="F35" s="32" t="s">
        <v>257</v>
      </c>
      <c r="G35" s="32" t="s">
        <v>257</v>
      </c>
      <c r="H35" s="31" t="s">
        <v>341</v>
      </c>
      <c r="I35" s="31" t="s">
        <v>342</v>
      </c>
    </row>
    <row r="36" spans="1:9" ht="24.6" x14ac:dyDescent="0.55000000000000004">
      <c r="A36" s="30" t="s">
        <v>343</v>
      </c>
      <c r="B36" s="30" t="s">
        <v>120</v>
      </c>
      <c r="C36" s="30" t="s">
        <v>20</v>
      </c>
      <c r="D36" s="31" t="s">
        <v>121</v>
      </c>
      <c r="E36" s="31"/>
      <c r="F36" s="32" t="s">
        <v>257</v>
      </c>
      <c r="G36" s="32" t="s">
        <v>257</v>
      </c>
      <c r="H36" s="31" t="s">
        <v>344</v>
      </c>
      <c r="I36" s="31" t="s">
        <v>345</v>
      </c>
    </row>
    <row r="37" spans="1:9" ht="24.6" x14ac:dyDescent="0.55000000000000004">
      <c r="A37" s="30" t="s">
        <v>346</v>
      </c>
      <c r="B37" s="30" t="s">
        <v>124</v>
      </c>
      <c r="C37" s="30" t="s">
        <v>20</v>
      </c>
      <c r="D37" s="31" t="s">
        <v>125</v>
      </c>
      <c r="E37" s="31"/>
      <c r="F37" s="32" t="s">
        <v>257</v>
      </c>
      <c r="G37" s="32" t="s">
        <v>257</v>
      </c>
      <c r="H37" s="31" t="s">
        <v>347</v>
      </c>
      <c r="I37" s="31" t="s">
        <v>345</v>
      </c>
    </row>
    <row r="38" spans="1:9" ht="24.6" x14ac:dyDescent="0.55000000000000004">
      <c r="A38" s="30" t="s">
        <v>348</v>
      </c>
      <c r="B38" s="30" t="s">
        <v>210</v>
      </c>
      <c r="C38" s="30" t="s">
        <v>110</v>
      </c>
      <c r="D38" s="31" t="s">
        <v>211</v>
      </c>
      <c r="E38" s="31"/>
      <c r="F38" s="32" t="s">
        <v>257</v>
      </c>
      <c r="G38" s="32" t="s">
        <v>257</v>
      </c>
      <c r="H38" s="31" t="s">
        <v>349</v>
      </c>
      <c r="I38" s="31" t="s">
        <v>350</v>
      </c>
    </row>
    <row r="39" spans="1:9" ht="24.6" x14ac:dyDescent="0.55000000000000004">
      <c r="A39" s="30" t="s">
        <v>351</v>
      </c>
      <c r="B39" s="30" t="s">
        <v>214</v>
      </c>
      <c r="C39" s="30" t="s">
        <v>155</v>
      </c>
      <c r="D39" s="31" t="s">
        <v>215</v>
      </c>
      <c r="E39" s="31"/>
      <c r="F39" s="32" t="s">
        <v>257</v>
      </c>
      <c r="G39" s="32" t="s">
        <v>257</v>
      </c>
      <c r="H39" s="31" t="s">
        <v>352</v>
      </c>
      <c r="I39" s="31" t="s">
        <v>353</v>
      </c>
    </row>
    <row r="40" spans="1:9" ht="24.6" x14ac:dyDescent="0.55000000000000004">
      <c r="A40" s="30" t="s">
        <v>354</v>
      </c>
      <c r="B40" s="30" t="s">
        <v>218</v>
      </c>
      <c r="C40" s="30" t="s">
        <v>20</v>
      </c>
      <c r="D40" s="31" t="s">
        <v>355</v>
      </c>
      <c r="E40" s="31"/>
      <c r="F40" s="33" t="s">
        <v>156</v>
      </c>
      <c r="G40" s="33" t="s">
        <v>356</v>
      </c>
      <c r="H40" s="31" t="s">
        <v>357</v>
      </c>
      <c r="I40" s="31" t="s">
        <v>358</v>
      </c>
    </row>
    <row r="41" spans="1:9" ht="24.6" x14ac:dyDescent="0.55000000000000004">
      <c r="A41" s="30" t="s">
        <v>359</v>
      </c>
      <c r="B41" s="30" t="s">
        <v>240</v>
      </c>
      <c r="C41" s="30" t="s">
        <v>155</v>
      </c>
      <c r="D41" s="31" t="s">
        <v>360</v>
      </c>
      <c r="E41" s="31"/>
      <c r="F41" s="33" t="s">
        <v>156</v>
      </c>
      <c r="G41" s="33" t="s">
        <v>156</v>
      </c>
      <c r="H41" s="31" t="s">
        <v>361</v>
      </c>
      <c r="I41" s="31" t="s">
        <v>362</v>
      </c>
    </row>
    <row r="42" spans="1:9" ht="24.6" x14ac:dyDescent="0.55000000000000004">
      <c r="A42" s="30" t="s">
        <v>226</v>
      </c>
      <c r="B42" s="30" t="s">
        <v>363</v>
      </c>
      <c r="C42" s="30" t="s">
        <v>20</v>
      </c>
      <c r="D42" s="31" t="s">
        <v>364</v>
      </c>
      <c r="E42" s="31"/>
      <c r="F42" s="33" t="s">
        <v>156</v>
      </c>
      <c r="G42" s="33" t="s">
        <v>156</v>
      </c>
      <c r="H42" s="31" t="s">
        <v>365</v>
      </c>
      <c r="I42" s="31" t="s">
        <v>366</v>
      </c>
    </row>
    <row r="43" spans="1:9" ht="24.6" x14ac:dyDescent="0.55000000000000004">
      <c r="A43" s="30" t="s">
        <v>232</v>
      </c>
      <c r="B43" s="30" t="s">
        <v>367</v>
      </c>
      <c r="C43" s="30" t="s">
        <v>155</v>
      </c>
      <c r="D43" s="31" t="s">
        <v>233</v>
      </c>
      <c r="E43" s="31"/>
      <c r="F43" s="33" t="s">
        <v>156</v>
      </c>
      <c r="G43" s="33" t="s">
        <v>156</v>
      </c>
      <c r="H43" s="31" t="s">
        <v>368</v>
      </c>
      <c r="I43" s="31" t="s">
        <v>369</v>
      </c>
    </row>
    <row r="44" spans="1:9" ht="24.6" x14ac:dyDescent="0.55000000000000004">
      <c r="A44" s="30" t="s">
        <v>236</v>
      </c>
      <c r="B44" s="30" t="s">
        <v>370</v>
      </c>
      <c r="C44" s="30" t="s">
        <v>20</v>
      </c>
      <c r="D44" s="31" t="s">
        <v>371</v>
      </c>
      <c r="E44" s="31"/>
      <c r="F44" s="33" t="s">
        <v>156</v>
      </c>
      <c r="G44" s="33" t="s">
        <v>372</v>
      </c>
      <c r="H44" s="31" t="s">
        <v>373</v>
      </c>
      <c r="I44" s="31" t="s">
        <v>374</v>
      </c>
    </row>
    <row r="45" spans="1:9" ht="24.6" x14ac:dyDescent="0.55000000000000004">
      <c r="A45" s="30" t="s">
        <v>375</v>
      </c>
      <c r="B45" s="30" t="s">
        <v>103</v>
      </c>
      <c r="C45" s="30" t="s">
        <v>20</v>
      </c>
      <c r="D45" s="31" t="s">
        <v>376</v>
      </c>
      <c r="E45" s="31"/>
      <c r="F45" s="34" t="s">
        <v>377</v>
      </c>
      <c r="G45" s="34" t="s">
        <v>378</v>
      </c>
      <c r="H45" s="31" t="s">
        <v>379</v>
      </c>
      <c r="I45" s="31" t="s">
        <v>380</v>
      </c>
    </row>
    <row r="46" spans="1:9" ht="24.6" x14ac:dyDescent="0.55000000000000004">
      <c r="A46" s="30" t="s">
        <v>381</v>
      </c>
      <c r="B46" s="30" t="s">
        <v>93</v>
      </c>
      <c r="C46" s="30" t="s">
        <v>20</v>
      </c>
      <c r="D46" s="31" t="s">
        <v>94</v>
      </c>
      <c r="E46" s="31"/>
      <c r="F46" s="34" t="s">
        <v>377</v>
      </c>
      <c r="G46" s="34" t="s">
        <v>382</v>
      </c>
      <c r="H46" s="31" t="s">
        <v>383</v>
      </c>
      <c r="I46" s="31" t="s">
        <v>384</v>
      </c>
    </row>
    <row r="47" spans="1:9" ht="24.6" x14ac:dyDescent="0.55000000000000004">
      <c r="A47" s="30" t="s">
        <v>385</v>
      </c>
      <c r="B47" s="30" t="s">
        <v>99</v>
      </c>
      <c r="C47" s="30" t="s">
        <v>20</v>
      </c>
      <c r="D47" s="31" t="s">
        <v>100</v>
      </c>
      <c r="E47" s="31"/>
      <c r="F47" s="34" t="s">
        <v>377</v>
      </c>
      <c r="G47" s="34" t="s">
        <v>382</v>
      </c>
      <c r="H47" s="31" t="s">
        <v>386</v>
      </c>
      <c r="I47" s="31" t="s">
        <v>387</v>
      </c>
    </row>
    <row r="48" spans="1:9" x14ac:dyDescent="0.55000000000000004">
      <c r="A48" s="30" t="s">
        <v>388</v>
      </c>
      <c r="B48" s="30" t="s">
        <v>132</v>
      </c>
      <c r="C48" s="30" t="s">
        <v>20</v>
      </c>
      <c r="D48" s="31" t="s">
        <v>133</v>
      </c>
      <c r="E48" s="31"/>
      <c r="F48" s="34" t="s">
        <v>377</v>
      </c>
      <c r="G48" s="34" t="s">
        <v>382</v>
      </c>
      <c r="H48" s="31" t="s">
        <v>389</v>
      </c>
      <c r="I48" s="31" t="s">
        <v>390</v>
      </c>
    </row>
    <row r="49" spans="1:9" x14ac:dyDescent="0.55000000000000004">
      <c r="A49" s="30" t="s">
        <v>391</v>
      </c>
      <c r="B49" s="30" t="s">
        <v>136</v>
      </c>
      <c r="C49" s="30" t="s">
        <v>20</v>
      </c>
      <c r="D49" s="31" t="s">
        <v>137</v>
      </c>
      <c r="E49" s="31"/>
      <c r="F49" s="34" t="s">
        <v>377</v>
      </c>
      <c r="G49" s="34" t="s">
        <v>382</v>
      </c>
      <c r="H49" s="31" t="s">
        <v>392</v>
      </c>
      <c r="I49" s="31" t="s">
        <v>393</v>
      </c>
    </row>
    <row r="50" spans="1:9" x14ac:dyDescent="0.55000000000000004">
      <c r="A50" s="30" t="s">
        <v>394</v>
      </c>
      <c r="B50" s="30" t="s">
        <v>140</v>
      </c>
      <c r="C50" s="30" t="s">
        <v>20</v>
      </c>
      <c r="D50" s="31" t="s">
        <v>141</v>
      </c>
      <c r="E50" s="31"/>
      <c r="F50" s="34" t="s">
        <v>377</v>
      </c>
      <c r="G50" s="34" t="s">
        <v>382</v>
      </c>
      <c r="H50" s="31" t="s">
        <v>395</v>
      </c>
      <c r="I50" s="31" t="s">
        <v>393</v>
      </c>
    </row>
    <row r="51" spans="1:9" x14ac:dyDescent="0.55000000000000004">
      <c r="A51" s="30" t="s">
        <v>396</v>
      </c>
      <c r="B51" s="30" t="s">
        <v>144</v>
      </c>
      <c r="C51" s="30" t="s">
        <v>20</v>
      </c>
      <c r="D51" s="31" t="s">
        <v>145</v>
      </c>
      <c r="E51" s="31"/>
      <c r="F51" s="34" t="s">
        <v>377</v>
      </c>
      <c r="G51" s="34" t="s">
        <v>382</v>
      </c>
      <c r="H51" s="31" t="s">
        <v>397</v>
      </c>
      <c r="I51" s="31" t="s">
        <v>398</v>
      </c>
    </row>
    <row r="52" spans="1:9" x14ac:dyDescent="0.55000000000000004">
      <c r="A52" s="30" t="s">
        <v>399</v>
      </c>
      <c r="B52" s="30" t="s">
        <v>148</v>
      </c>
      <c r="C52" s="30" t="s">
        <v>20</v>
      </c>
      <c r="D52" s="31" t="s">
        <v>149</v>
      </c>
      <c r="E52" s="31"/>
      <c r="F52" s="34" t="s">
        <v>377</v>
      </c>
      <c r="G52" s="34" t="s">
        <v>382</v>
      </c>
      <c r="H52" s="31" t="s">
        <v>400</v>
      </c>
      <c r="I52" s="31" t="s">
        <v>401</v>
      </c>
    </row>
    <row r="53" spans="1:9" ht="24.6" x14ac:dyDescent="0.55000000000000004">
      <c r="A53" s="30" t="s">
        <v>402</v>
      </c>
      <c r="B53" s="30" t="s">
        <v>152</v>
      </c>
      <c r="C53" s="30" t="s">
        <v>274</v>
      </c>
      <c r="D53" s="31" t="s">
        <v>403</v>
      </c>
      <c r="E53" s="31"/>
      <c r="F53" s="34" t="s">
        <v>377</v>
      </c>
      <c r="G53" s="34" t="s">
        <v>382</v>
      </c>
      <c r="H53" s="31" t="s">
        <v>404</v>
      </c>
      <c r="I53" s="31" t="s">
        <v>405</v>
      </c>
    </row>
    <row r="54" spans="1:9" x14ac:dyDescent="0.55000000000000004">
      <c r="A54" s="30" t="s">
        <v>406</v>
      </c>
      <c r="B54" s="30" t="s">
        <v>162</v>
      </c>
      <c r="C54" s="30" t="s">
        <v>20</v>
      </c>
      <c r="D54" s="31" t="s">
        <v>163</v>
      </c>
      <c r="E54" s="31"/>
      <c r="F54" s="34" t="s">
        <v>377</v>
      </c>
      <c r="G54" s="34" t="s">
        <v>382</v>
      </c>
      <c r="H54" s="31" t="s">
        <v>407</v>
      </c>
      <c r="I54" s="31" t="s">
        <v>390</v>
      </c>
    </row>
  </sheetData>
  <autoFilter ref="A3:I54" xr:uid="{00000000-0009-0000-0000-000002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57"/>
  <sheetViews>
    <sheetView zoomScaleNormal="100" workbookViewId="0">
      <pane xSplit="6" ySplit="4" topLeftCell="G5" activePane="bottomRight" state="frozen"/>
      <selection pane="topRight" activeCell="G1" sqref="G1"/>
      <selection pane="bottomLeft" activeCell="A5" sqref="A5"/>
      <selection pane="bottomRight"/>
    </sheetView>
  </sheetViews>
  <sheetFormatPr defaultColWidth="8.68359375" defaultRowHeight="14.4" x14ac:dyDescent="0.55000000000000004"/>
  <cols>
    <col min="1" max="1" width="9" customWidth="1"/>
    <col min="2" max="2" width="13" customWidth="1"/>
    <col min="3" max="3" width="42" customWidth="1"/>
    <col min="4" max="4" width="13" customWidth="1"/>
    <col min="5" max="5" width="11" customWidth="1"/>
    <col min="6" max="6" width="12" customWidth="1"/>
    <col min="7" max="23" width="5.20703125" customWidth="1"/>
    <col min="24" max="24" width="34" customWidth="1"/>
  </cols>
  <sheetData>
    <row r="1" spans="1:24" ht="17.7" x14ac:dyDescent="0.6">
      <c r="A1" s="1" t="s">
        <v>408</v>
      </c>
    </row>
    <row r="2" spans="1:24" x14ac:dyDescent="0.55000000000000004">
      <c r="A2" s="28" t="s">
        <v>409</v>
      </c>
    </row>
    <row r="3" spans="1:24" x14ac:dyDescent="0.55000000000000004">
      <c r="A3" s="28" t="s">
        <v>410</v>
      </c>
    </row>
    <row r="4" spans="1:24" ht="28.2" x14ac:dyDescent="0.55000000000000004">
      <c r="A4" s="29" t="s">
        <v>250</v>
      </c>
      <c r="B4" s="29" t="s">
        <v>251</v>
      </c>
      <c r="C4" s="29" t="s">
        <v>411</v>
      </c>
      <c r="D4" s="29" t="s">
        <v>5</v>
      </c>
      <c r="E4" s="29" t="s">
        <v>412</v>
      </c>
      <c r="F4" s="29" t="s">
        <v>413</v>
      </c>
      <c r="G4" s="35">
        <v>46181</v>
      </c>
      <c r="H4" s="35">
        <v>46188</v>
      </c>
      <c r="I4" s="35">
        <v>46195</v>
      </c>
      <c r="J4" s="35">
        <v>46202</v>
      </c>
      <c r="K4" s="35">
        <v>46209</v>
      </c>
      <c r="L4" s="35">
        <v>46216</v>
      </c>
      <c r="M4" s="35">
        <v>46223</v>
      </c>
      <c r="N4" s="35">
        <v>46230</v>
      </c>
      <c r="O4" s="35">
        <v>46237</v>
      </c>
      <c r="P4" s="35">
        <v>46244</v>
      </c>
      <c r="Q4" s="35">
        <v>46251</v>
      </c>
      <c r="R4" s="35">
        <v>46258</v>
      </c>
      <c r="S4" s="35">
        <v>46265</v>
      </c>
      <c r="T4" s="35">
        <v>46272</v>
      </c>
      <c r="U4" s="35">
        <v>46279</v>
      </c>
      <c r="V4" s="35">
        <v>46286</v>
      </c>
      <c r="W4" s="35">
        <v>46293</v>
      </c>
      <c r="X4" s="36" t="s">
        <v>16</v>
      </c>
    </row>
    <row r="5" spans="1:24" x14ac:dyDescent="0.55000000000000004">
      <c r="A5" s="37" t="s">
        <v>414</v>
      </c>
      <c r="B5" s="37"/>
      <c r="C5" s="38" t="s">
        <v>415</v>
      </c>
      <c r="D5" s="37" t="s">
        <v>416</v>
      </c>
      <c r="E5" s="39">
        <v>46244</v>
      </c>
      <c r="F5" s="39">
        <v>46244</v>
      </c>
      <c r="G5" s="40" t="str">
        <f t="shared" ref="G5:P6" si="0">IF(AND($E5&lt;&gt;"",$F5&lt;&gt;"",G$4&lt;=$F5,G$4+6&gt;=$E5),"◆","")</f>
        <v/>
      </c>
      <c r="H5" s="40" t="str">
        <f t="shared" si="0"/>
        <v/>
      </c>
      <c r="I5" s="40" t="str">
        <f t="shared" si="0"/>
        <v/>
      </c>
      <c r="J5" s="40" t="str">
        <f t="shared" si="0"/>
        <v/>
      </c>
      <c r="K5" s="40" t="str">
        <f t="shared" si="0"/>
        <v/>
      </c>
      <c r="L5" s="40" t="str">
        <f t="shared" si="0"/>
        <v/>
      </c>
      <c r="M5" s="40" t="str">
        <f t="shared" si="0"/>
        <v/>
      </c>
      <c r="N5" s="40" t="str">
        <f t="shared" si="0"/>
        <v/>
      </c>
      <c r="O5" s="40" t="str">
        <f t="shared" si="0"/>
        <v/>
      </c>
      <c r="P5" s="40" t="str">
        <f t="shared" si="0"/>
        <v>◆</v>
      </c>
      <c r="Q5" s="40" t="str">
        <f t="shared" ref="Q5:W6" si="1">IF(AND($E5&lt;&gt;"",$F5&lt;&gt;"",Q$4&lt;=$F5,Q$4+6&gt;=$E5),"◆","")</f>
        <v/>
      </c>
      <c r="R5" s="40" t="str">
        <f t="shared" si="1"/>
        <v/>
      </c>
      <c r="S5" s="40" t="str">
        <f t="shared" si="1"/>
        <v/>
      </c>
      <c r="T5" s="40" t="str">
        <f t="shared" si="1"/>
        <v/>
      </c>
      <c r="U5" s="40" t="str">
        <f t="shared" si="1"/>
        <v/>
      </c>
      <c r="V5" s="40" t="str">
        <f t="shared" si="1"/>
        <v/>
      </c>
      <c r="W5" s="40" t="str">
        <f t="shared" si="1"/>
        <v/>
      </c>
      <c r="X5" s="41" t="s">
        <v>417</v>
      </c>
    </row>
    <row r="6" spans="1:24" x14ac:dyDescent="0.55000000000000004">
      <c r="A6" s="37" t="s">
        <v>414</v>
      </c>
      <c r="B6" s="37"/>
      <c r="C6" s="38" t="s">
        <v>418</v>
      </c>
      <c r="D6" s="37" t="s">
        <v>416</v>
      </c>
      <c r="E6" s="39">
        <v>46289</v>
      </c>
      <c r="F6" s="39">
        <v>46289</v>
      </c>
      <c r="G6" s="40" t="str">
        <f t="shared" si="0"/>
        <v/>
      </c>
      <c r="H6" s="40" t="str">
        <f t="shared" si="0"/>
        <v/>
      </c>
      <c r="I6" s="40" t="str">
        <f t="shared" si="0"/>
        <v/>
      </c>
      <c r="J6" s="40" t="str">
        <f t="shared" si="0"/>
        <v/>
      </c>
      <c r="K6" s="40" t="str">
        <f t="shared" si="0"/>
        <v/>
      </c>
      <c r="L6" s="40" t="str">
        <f t="shared" si="0"/>
        <v/>
      </c>
      <c r="M6" s="40" t="str">
        <f t="shared" si="0"/>
        <v/>
      </c>
      <c r="N6" s="40" t="str">
        <f t="shared" si="0"/>
        <v/>
      </c>
      <c r="O6" s="40" t="str">
        <f t="shared" si="0"/>
        <v/>
      </c>
      <c r="P6" s="40" t="str">
        <f t="shared" si="0"/>
        <v/>
      </c>
      <c r="Q6" s="40" t="str">
        <f t="shared" si="1"/>
        <v/>
      </c>
      <c r="R6" s="40" t="str">
        <f t="shared" si="1"/>
        <v/>
      </c>
      <c r="S6" s="40" t="str">
        <f t="shared" si="1"/>
        <v/>
      </c>
      <c r="T6" s="40" t="str">
        <f t="shared" si="1"/>
        <v/>
      </c>
      <c r="U6" s="40" t="str">
        <f t="shared" si="1"/>
        <v/>
      </c>
      <c r="V6" s="40" t="str">
        <f t="shared" si="1"/>
        <v>◆</v>
      </c>
      <c r="W6" s="40" t="str">
        <f t="shared" si="1"/>
        <v/>
      </c>
      <c r="X6" s="41" t="s">
        <v>419</v>
      </c>
    </row>
    <row r="7" spans="1:24" x14ac:dyDescent="0.55000000000000004">
      <c r="A7" s="42" t="s">
        <v>66</v>
      </c>
      <c r="B7" s="42" t="s">
        <v>256</v>
      </c>
      <c r="C7" s="43" t="s">
        <v>271</v>
      </c>
      <c r="D7" s="42" t="s">
        <v>257</v>
      </c>
      <c r="E7" s="44">
        <v>46186</v>
      </c>
      <c r="F7" s="44">
        <v>46193</v>
      </c>
      <c r="G7" s="45" t="str">
        <f t="shared" ref="G7:P16" si="2">IF(AND($E7&lt;&gt;"",$F7&lt;&gt;"",G$4&lt;=$F7,G$4+6&gt;=$E7),"█","")</f>
        <v>█</v>
      </c>
      <c r="H7" s="45" t="str">
        <f t="shared" si="2"/>
        <v>█</v>
      </c>
      <c r="I7" s="45" t="str">
        <f t="shared" si="2"/>
        <v/>
      </c>
      <c r="J7" s="45" t="str">
        <f t="shared" si="2"/>
        <v/>
      </c>
      <c r="K7" s="45" t="str">
        <f t="shared" si="2"/>
        <v/>
      </c>
      <c r="L7" s="45" t="str">
        <f t="shared" si="2"/>
        <v/>
      </c>
      <c r="M7" s="45" t="str">
        <f t="shared" si="2"/>
        <v/>
      </c>
      <c r="N7" s="45" t="str">
        <f t="shared" si="2"/>
        <v/>
      </c>
      <c r="O7" s="45" t="str">
        <f t="shared" si="2"/>
        <v/>
      </c>
      <c r="P7" s="45" t="str">
        <f t="shared" si="2"/>
        <v/>
      </c>
      <c r="Q7" s="45" t="str">
        <f t="shared" ref="Q7:W16" si="3">IF(AND($E7&lt;&gt;"",$F7&lt;&gt;"",Q$4&lt;=$F7,Q$4+6&gt;=$E7),"█","")</f>
        <v/>
      </c>
      <c r="R7" s="45" t="str">
        <f t="shared" si="3"/>
        <v/>
      </c>
      <c r="S7" s="45" t="str">
        <f t="shared" si="3"/>
        <v/>
      </c>
      <c r="T7" s="45" t="str">
        <f t="shared" si="3"/>
        <v/>
      </c>
      <c r="U7" s="45" t="str">
        <f t="shared" si="3"/>
        <v/>
      </c>
      <c r="V7" s="45" t="str">
        <f t="shared" si="3"/>
        <v/>
      </c>
      <c r="W7" s="45" t="str">
        <f t="shared" si="3"/>
        <v/>
      </c>
      <c r="X7" s="41" t="s">
        <v>256</v>
      </c>
    </row>
    <row r="8" spans="1:24" ht="27.6" x14ac:dyDescent="0.55000000000000004">
      <c r="A8" s="42" t="s">
        <v>17</v>
      </c>
      <c r="B8" s="42" t="s">
        <v>256</v>
      </c>
      <c r="C8" s="43" t="s">
        <v>18</v>
      </c>
      <c r="D8" s="42" t="s">
        <v>257</v>
      </c>
      <c r="E8" s="44">
        <v>46188</v>
      </c>
      <c r="F8" s="44">
        <v>46195</v>
      </c>
      <c r="G8" s="45" t="str">
        <f t="shared" si="2"/>
        <v/>
      </c>
      <c r="H8" s="45" t="str">
        <f t="shared" si="2"/>
        <v>█</v>
      </c>
      <c r="I8" s="45" t="str">
        <f t="shared" si="2"/>
        <v>█</v>
      </c>
      <c r="J8" s="45" t="str">
        <f t="shared" si="2"/>
        <v/>
      </c>
      <c r="K8" s="45" t="str">
        <f t="shared" si="2"/>
        <v/>
      </c>
      <c r="L8" s="45" t="str">
        <f t="shared" si="2"/>
        <v/>
      </c>
      <c r="M8" s="45" t="str">
        <f t="shared" si="2"/>
        <v/>
      </c>
      <c r="N8" s="45" t="str">
        <f t="shared" si="2"/>
        <v/>
      </c>
      <c r="O8" s="45" t="str">
        <f t="shared" si="2"/>
        <v/>
      </c>
      <c r="P8" s="45" t="str">
        <f t="shared" si="2"/>
        <v/>
      </c>
      <c r="Q8" s="45" t="str">
        <f t="shared" si="3"/>
        <v/>
      </c>
      <c r="R8" s="45" t="str">
        <f t="shared" si="3"/>
        <v/>
      </c>
      <c r="S8" s="45" t="str">
        <f t="shared" si="3"/>
        <v/>
      </c>
      <c r="T8" s="45" t="str">
        <f t="shared" si="3"/>
        <v/>
      </c>
      <c r="U8" s="45" t="str">
        <f t="shared" si="3"/>
        <v/>
      </c>
      <c r="V8" s="45" t="str">
        <f t="shared" si="3"/>
        <v/>
      </c>
      <c r="W8" s="45" t="str">
        <f t="shared" si="3"/>
        <v/>
      </c>
      <c r="X8" s="41" t="s">
        <v>259</v>
      </c>
    </row>
    <row r="9" spans="1:24" x14ac:dyDescent="0.55000000000000004">
      <c r="A9" s="42" t="s">
        <v>27</v>
      </c>
      <c r="B9" s="42" t="s">
        <v>256</v>
      </c>
      <c r="C9" s="43" t="s">
        <v>28</v>
      </c>
      <c r="D9" s="42" t="s">
        <v>257</v>
      </c>
      <c r="E9" s="44">
        <v>46188</v>
      </c>
      <c r="F9" s="44">
        <v>46195</v>
      </c>
      <c r="G9" s="45" t="str">
        <f t="shared" si="2"/>
        <v/>
      </c>
      <c r="H9" s="45" t="str">
        <f t="shared" si="2"/>
        <v>█</v>
      </c>
      <c r="I9" s="45" t="str">
        <f t="shared" si="2"/>
        <v>█</v>
      </c>
      <c r="J9" s="45" t="str">
        <f t="shared" si="2"/>
        <v/>
      </c>
      <c r="K9" s="45" t="str">
        <f t="shared" si="2"/>
        <v/>
      </c>
      <c r="L9" s="45" t="str">
        <f t="shared" si="2"/>
        <v/>
      </c>
      <c r="M9" s="45" t="str">
        <f t="shared" si="2"/>
        <v/>
      </c>
      <c r="N9" s="45" t="str">
        <f t="shared" si="2"/>
        <v/>
      </c>
      <c r="O9" s="45" t="str">
        <f t="shared" si="2"/>
        <v/>
      </c>
      <c r="P9" s="45" t="str">
        <f t="shared" si="2"/>
        <v/>
      </c>
      <c r="Q9" s="45" t="str">
        <f t="shared" si="3"/>
        <v/>
      </c>
      <c r="R9" s="45" t="str">
        <f t="shared" si="3"/>
        <v/>
      </c>
      <c r="S9" s="45" t="str">
        <f t="shared" si="3"/>
        <v/>
      </c>
      <c r="T9" s="45" t="str">
        <f t="shared" si="3"/>
        <v/>
      </c>
      <c r="U9" s="45" t="str">
        <f t="shared" si="3"/>
        <v/>
      </c>
      <c r="V9" s="45" t="str">
        <f t="shared" si="3"/>
        <v/>
      </c>
      <c r="W9" s="45" t="str">
        <f t="shared" si="3"/>
        <v/>
      </c>
      <c r="X9" s="41" t="s">
        <v>256</v>
      </c>
    </row>
    <row r="10" spans="1:24" x14ac:dyDescent="0.55000000000000004">
      <c r="A10" s="42" t="s">
        <v>31</v>
      </c>
      <c r="B10" s="42" t="s">
        <v>256</v>
      </c>
      <c r="C10" s="43" t="s">
        <v>32</v>
      </c>
      <c r="D10" s="42" t="s">
        <v>257</v>
      </c>
      <c r="E10" s="44">
        <v>46191</v>
      </c>
      <c r="F10" s="44">
        <v>46200</v>
      </c>
      <c r="G10" s="45" t="str">
        <f t="shared" si="2"/>
        <v/>
      </c>
      <c r="H10" s="45" t="str">
        <f t="shared" si="2"/>
        <v>█</v>
      </c>
      <c r="I10" s="45" t="str">
        <f t="shared" si="2"/>
        <v>█</v>
      </c>
      <c r="J10" s="45" t="str">
        <f t="shared" si="2"/>
        <v/>
      </c>
      <c r="K10" s="45" t="str">
        <f t="shared" si="2"/>
        <v/>
      </c>
      <c r="L10" s="45" t="str">
        <f t="shared" si="2"/>
        <v/>
      </c>
      <c r="M10" s="45" t="str">
        <f t="shared" si="2"/>
        <v/>
      </c>
      <c r="N10" s="45" t="str">
        <f t="shared" si="2"/>
        <v/>
      </c>
      <c r="O10" s="45" t="str">
        <f t="shared" si="2"/>
        <v/>
      </c>
      <c r="P10" s="45" t="str">
        <f t="shared" si="2"/>
        <v/>
      </c>
      <c r="Q10" s="45" t="str">
        <f t="shared" si="3"/>
        <v/>
      </c>
      <c r="R10" s="45" t="str">
        <f t="shared" si="3"/>
        <v/>
      </c>
      <c r="S10" s="45" t="str">
        <f t="shared" si="3"/>
        <v/>
      </c>
      <c r="T10" s="45" t="str">
        <f t="shared" si="3"/>
        <v/>
      </c>
      <c r="U10" s="45" t="str">
        <f t="shared" si="3"/>
        <v/>
      </c>
      <c r="V10" s="45" t="str">
        <f t="shared" si="3"/>
        <v/>
      </c>
      <c r="W10" s="45" t="str">
        <f t="shared" si="3"/>
        <v/>
      </c>
      <c r="X10" s="41" t="s">
        <v>256</v>
      </c>
    </row>
    <row r="11" spans="1:24" ht="27.6" x14ac:dyDescent="0.55000000000000004">
      <c r="A11" s="42" t="s">
        <v>45</v>
      </c>
      <c r="B11" s="42" t="s">
        <v>256</v>
      </c>
      <c r="C11" s="43" t="s">
        <v>46</v>
      </c>
      <c r="D11" s="42" t="s">
        <v>257</v>
      </c>
      <c r="E11" s="44">
        <v>46195</v>
      </c>
      <c r="F11" s="44">
        <v>46202</v>
      </c>
      <c r="G11" s="45" t="str">
        <f t="shared" si="2"/>
        <v/>
      </c>
      <c r="H11" s="45" t="str">
        <f t="shared" si="2"/>
        <v/>
      </c>
      <c r="I11" s="45" t="str">
        <f t="shared" si="2"/>
        <v>█</v>
      </c>
      <c r="J11" s="45" t="str">
        <f t="shared" si="2"/>
        <v>█</v>
      </c>
      <c r="K11" s="45" t="str">
        <f t="shared" si="2"/>
        <v/>
      </c>
      <c r="L11" s="45" t="str">
        <f t="shared" si="2"/>
        <v/>
      </c>
      <c r="M11" s="45" t="str">
        <f t="shared" si="2"/>
        <v/>
      </c>
      <c r="N11" s="45" t="str">
        <f t="shared" si="2"/>
        <v/>
      </c>
      <c r="O11" s="45" t="str">
        <f t="shared" si="2"/>
        <v/>
      </c>
      <c r="P11" s="45" t="str">
        <f t="shared" si="2"/>
        <v/>
      </c>
      <c r="Q11" s="45" t="str">
        <f t="shared" si="3"/>
        <v/>
      </c>
      <c r="R11" s="45" t="str">
        <f t="shared" si="3"/>
        <v/>
      </c>
      <c r="S11" s="45" t="str">
        <f t="shared" si="3"/>
        <v/>
      </c>
      <c r="T11" s="45" t="str">
        <f t="shared" si="3"/>
        <v/>
      </c>
      <c r="U11" s="45" t="str">
        <f t="shared" si="3"/>
        <v/>
      </c>
      <c r="V11" s="45" t="str">
        <f t="shared" si="3"/>
        <v/>
      </c>
      <c r="W11" s="45" t="str">
        <f t="shared" si="3"/>
        <v/>
      </c>
      <c r="X11" s="41" t="s">
        <v>256</v>
      </c>
    </row>
    <row r="12" spans="1:24" x14ac:dyDescent="0.55000000000000004">
      <c r="A12" s="42" t="s">
        <v>62</v>
      </c>
      <c r="B12" s="42" t="s">
        <v>256</v>
      </c>
      <c r="C12" s="43" t="s">
        <v>269</v>
      </c>
      <c r="D12" s="42" t="s">
        <v>257</v>
      </c>
      <c r="E12" s="44">
        <v>46195</v>
      </c>
      <c r="F12" s="44">
        <v>46211</v>
      </c>
      <c r="G12" s="45" t="str">
        <f t="shared" si="2"/>
        <v/>
      </c>
      <c r="H12" s="45" t="str">
        <f t="shared" si="2"/>
        <v/>
      </c>
      <c r="I12" s="45" t="str">
        <f t="shared" si="2"/>
        <v>█</v>
      </c>
      <c r="J12" s="45" t="str">
        <f t="shared" si="2"/>
        <v>█</v>
      </c>
      <c r="K12" s="45" t="str">
        <f t="shared" si="2"/>
        <v>█</v>
      </c>
      <c r="L12" s="45" t="str">
        <f t="shared" si="2"/>
        <v/>
      </c>
      <c r="M12" s="45" t="str">
        <f t="shared" si="2"/>
        <v/>
      </c>
      <c r="N12" s="45" t="str">
        <f t="shared" si="2"/>
        <v/>
      </c>
      <c r="O12" s="45" t="str">
        <f t="shared" si="2"/>
        <v/>
      </c>
      <c r="P12" s="45" t="str">
        <f t="shared" si="2"/>
        <v/>
      </c>
      <c r="Q12" s="45" t="str">
        <f t="shared" si="3"/>
        <v/>
      </c>
      <c r="R12" s="45" t="str">
        <f t="shared" si="3"/>
        <v/>
      </c>
      <c r="S12" s="45" t="str">
        <f t="shared" si="3"/>
        <v/>
      </c>
      <c r="T12" s="45" t="str">
        <f t="shared" si="3"/>
        <v/>
      </c>
      <c r="U12" s="45" t="str">
        <f t="shared" si="3"/>
        <v/>
      </c>
      <c r="V12" s="45" t="str">
        <f t="shared" si="3"/>
        <v/>
      </c>
      <c r="W12" s="45" t="str">
        <f t="shared" si="3"/>
        <v/>
      </c>
      <c r="X12" s="41" t="s">
        <v>256</v>
      </c>
    </row>
    <row r="13" spans="1:24" x14ac:dyDescent="0.55000000000000004">
      <c r="A13" s="42" t="s">
        <v>37</v>
      </c>
      <c r="B13" s="42" t="s">
        <v>256</v>
      </c>
      <c r="C13" s="43" t="s">
        <v>38</v>
      </c>
      <c r="D13" s="42" t="s">
        <v>257</v>
      </c>
      <c r="E13" s="44">
        <v>46197</v>
      </c>
      <c r="F13" s="44">
        <v>46204</v>
      </c>
      <c r="G13" s="45" t="str">
        <f t="shared" si="2"/>
        <v/>
      </c>
      <c r="H13" s="45" t="str">
        <f t="shared" si="2"/>
        <v/>
      </c>
      <c r="I13" s="45" t="str">
        <f t="shared" si="2"/>
        <v>█</v>
      </c>
      <c r="J13" s="45" t="str">
        <f t="shared" si="2"/>
        <v>█</v>
      </c>
      <c r="K13" s="45" t="str">
        <f t="shared" si="2"/>
        <v/>
      </c>
      <c r="L13" s="45" t="str">
        <f t="shared" si="2"/>
        <v/>
      </c>
      <c r="M13" s="45" t="str">
        <f t="shared" si="2"/>
        <v/>
      </c>
      <c r="N13" s="45" t="str">
        <f t="shared" si="2"/>
        <v/>
      </c>
      <c r="O13" s="45" t="str">
        <f t="shared" si="2"/>
        <v/>
      </c>
      <c r="P13" s="45" t="str">
        <f t="shared" si="2"/>
        <v/>
      </c>
      <c r="Q13" s="45" t="str">
        <f t="shared" si="3"/>
        <v/>
      </c>
      <c r="R13" s="45" t="str">
        <f t="shared" si="3"/>
        <v/>
      </c>
      <c r="S13" s="45" t="str">
        <f t="shared" si="3"/>
        <v/>
      </c>
      <c r="T13" s="45" t="str">
        <f t="shared" si="3"/>
        <v/>
      </c>
      <c r="U13" s="45" t="str">
        <f t="shared" si="3"/>
        <v/>
      </c>
      <c r="V13" s="45" t="str">
        <f t="shared" si="3"/>
        <v/>
      </c>
      <c r="W13" s="45" t="str">
        <f t="shared" si="3"/>
        <v/>
      </c>
      <c r="X13" s="41" t="s">
        <v>256</v>
      </c>
    </row>
    <row r="14" spans="1:24" x14ac:dyDescent="0.55000000000000004">
      <c r="A14" s="42" t="s">
        <v>58</v>
      </c>
      <c r="B14" s="42" t="s">
        <v>256</v>
      </c>
      <c r="C14" s="43" t="s">
        <v>59</v>
      </c>
      <c r="D14" s="42" t="s">
        <v>257</v>
      </c>
      <c r="E14" s="44">
        <v>46198</v>
      </c>
      <c r="F14" s="44">
        <v>46209</v>
      </c>
      <c r="G14" s="45" t="str">
        <f t="shared" si="2"/>
        <v/>
      </c>
      <c r="H14" s="45" t="str">
        <f t="shared" si="2"/>
        <v/>
      </c>
      <c r="I14" s="45" t="str">
        <f t="shared" si="2"/>
        <v>█</v>
      </c>
      <c r="J14" s="45" t="str">
        <f t="shared" si="2"/>
        <v>█</v>
      </c>
      <c r="K14" s="45" t="str">
        <f t="shared" si="2"/>
        <v>█</v>
      </c>
      <c r="L14" s="45" t="str">
        <f t="shared" si="2"/>
        <v/>
      </c>
      <c r="M14" s="45" t="str">
        <f t="shared" si="2"/>
        <v/>
      </c>
      <c r="N14" s="45" t="str">
        <f t="shared" si="2"/>
        <v/>
      </c>
      <c r="O14" s="45" t="str">
        <f t="shared" si="2"/>
        <v/>
      </c>
      <c r="P14" s="45" t="str">
        <f t="shared" si="2"/>
        <v/>
      </c>
      <c r="Q14" s="45" t="str">
        <f t="shared" si="3"/>
        <v/>
      </c>
      <c r="R14" s="45" t="str">
        <f t="shared" si="3"/>
        <v/>
      </c>
      <c r="S14" s="45" t="str">
        <f t="shared" si="3"/>
        <v/>
      </c>
      <c r="T14" s="45" t="str">
        <f t="shared" si="3"/>
        <v/>
      </c>
      <c r="U14" s="45" t="str">
        <f t="shared" si="3"/>
        <v/>
      </c>
      <c r="V14" s="45" t="str">
        <f t="shared" si="3"/>
        <v/>
      </c>
      <c r="W14" s="45" t="str">
        <f t="shared" si="3"/>
        <v/>
      </c>
      <c r="X14" s="41" t="s">
        <v>256</v>
      </c>
    </row>
    <row r="15" spans="1:24" ht="27.6" x14ac:dyDescent="0.55000000000000004">
      <c r="A15" s="42" t="s">
        <v>41</v>
      </c>
      <c r="B15" s="42" t="s">
        <v>256</v>
      </c>
      <c r="C15" s="43" t="s">
        <v>263</v>
      </c>
      <c r="D15" s="42" t="s">
        <v>257</v>
      </c>
      <c r="E15" s="44">
        <v>46200</v>
      </c>
      <c r="F15" s="44">
        <v>46207</v>
      </c>
      <c r="G15" s="45" t="str">
        <f t="shared" si="2"/>
        <v/>
      </c>
      <c r="H15" s="45" t="str">
        <f t="shared" si="2"/>
        <v/>
      </c>
      <c r="I15" s="45" t="str">
        <f t="shared" si="2"/>
        <v>█</v>
      </c>
      <c r="J15" s="45" t="str">
        <f t="shared" si="2"/>
        <v>█</v>
      </c>
      <c r="K15" s="45" t="str">
        <f t="shared" si="2"/>
        <v/>
      </c>
      <c r="L15" s="45" t="str">
        <f t="shared" si="2"/>
        <v/>
      </c>
      <c r="M15" s="45" t="str">
        <f t="shared" si="2"/>
        <v/>
      </c>
      <c r="N15" s="45" t="str">
        <f t="shared" si="2"/>
        <v/>
      </c>
      <c r="O15" s="45" t="str">
        <f t="shared" si="2"/>
        <v/>
      </c>
      <c r="P15" s="45" t="str">
        <f t="shared" si="2"/>
        <v/>
      </c>
      <c r="Q15" s="45" t="str">
        <f t="shared" si="3"/>
        <v/>
      </c>
      <c r="R15" s="45" t="str">
        <f t="shared" si="3"/>
        <v/>
      </c>
      <c r="S15" s="45" t="str">
        <f t="shared" si="3"/>
        <v/>
      </c>
      <c r="T15" s="45" t="str">
        <f t="shared" si="3"/>
        <v/>
      </c>
      <c r="U15" s="45" t="str">
        <f t="shared" si="3"/>
        <v/>
      </c>
      <c r="V15" s="45" t="str">
        <f t="shared" si="3"/>
        <v/>
      </c>
      <c r="W15" s="45" t="str">
        <f t="shared" si="3"/>
        <v/>
      </c>
      <c r="X15" s="41" t="s">
        <v>256</v>
      </c>
    </row>
    <row r="16" spans="1:24" ht="27.6" x14ac:dyDescent="0.55000000000000004">
      <c r="A16" s="42" t="s">
        <v>49</v>
      </c>
      <c r="B16" s="42" t="s">
        <v>256</v>
      </c>
      <c r="C16" s="43" t="s">
        <v>50</v>
      </c>
      <c r="D16" s="42" t="s">
        <v>257</v>
      </c>
      <c r="E16" s="44">
        <v>46202</v>
      </c>
      <c r="F16" s="44">
        <v>46207</v>
      </c>
      <c r="G16" s="45" t="str">
        <f t="shared" si="2"/>
        <v/>
      </c>
      <c r="H16" s="45" t="str">
        <f t="shared" si="2"/>
        <v/>
      </c>
      <c r="I16" s="45" t="str">
        <f t="shared" si="2"/>
        <v/>
      </c>
      <c r="J16" s="45" t="str">
        <f t="shared" si="2"/>
        <v>█</v>
      </c>
      <c r="K16" s="45" t="str">
        <f t="shared" si="2"/>
        <v/>
      </c>
      <c r="L16" s="45" t="str">
        <f t="shared" si="2"/>
        <v/>
      </c>
      <c r="M16" s="45" t="str">
        <f t="shared" si="2"/>
        <v/>
      </c>
      <c r="N16" s="45" t="str">
        <f t="shared" si="2"/>
        <v/>
      </c>
      <c r="O16" s="45" t="str">
        <f t="shared" si="2"/>
        <v/>
      </c>
      <c r="P16" s="45" t="str">
        <f t="shared" si="2"/>
        <v/>
      </c>
      <c r="Q16" s="45" t="str">
        <f t="shared" si="3"/>
        <v/>
      </c>
      <c r="R16" s="45" t="str">
        <f t="shared" si="3"/>
        <v/>
      </c>
      <c r="S16" s="45" t="str">
        <f t="shared" si="3"/>
        <v/>
      </c>
      <c r="T16" s="45" t="str">
        <f t="shared" si="3"/>
        <v/>
      </c>
      <c r="U16" s="45" t="str">
        <f t="shared" si="3"/>
        <v/>
      </c>
      <c r="V16" s="45" t="str">
        <f t="shared" si="3"/>
        <v/>
      </c>
      <c r="W16" s="45" t="str">
        <f t="shared" si="3"/>
        <v/>
      </c>
      <c r="X16" s="41" t="s">
        <v>256</v>
      </c>
    </row>
    <row r="17" spans="1:24" x14ac:dyDescent="0.55000000000000004">
      <c r="A17" s="42" t="s">
        <v>53</v>
      </c>
      <c r="B17" s="42" t="s">
        <v>256</v>
      </c>
      <c r="C17" s="43" t="s">
        <v>54</v>
      </c>
      <c r="D17" s="42" t="s">
        <v>257</v>
      </c>
      <c r="E17" s="44">
        <v>46204</v>
      </c>
      <c r="F17" s="44">
        <v>46209</v>
      </c>
      <c r="G17" s="45" t="str">
        <f t="shared" ref="G17:P26" si="4">IF(AND($E17&lt;&gt;"",$F17&lt;&gt;"",G$4&lt;=$F17,G$4+6&gt;=$E17),"█","")</f>
        <v/>
      </c>
      <c r="H17" s="45" t="str">
        <f t="shared" si="4"/>
        <v/>
      </c>
      <c r="I17" s="45" t="str">
        <f t="shared" si="4"/>
        <v/>
      </c>
      <c r="J17" s="45" t="str">
        <f t="shared" si="4"/>
        <v>█</v>
      </c>
      <c r="K17" s="45" t="str">
        <f t="shared" si="4"/>
        <v>█</v>
      </c>
      <c r="L17" s="45" t="str">
        <f t="shared" si="4"/>
        <v/>
      </c>
      <c r="M17" s="45" t="str">
        <f t="shared" si="4"/>
        <v/>
      </c>
      <c r="N17" s="45" t="str">
        <f t="shared" si="4"/>
        <v/>
      </c>
      <c r="O17" s="45" t="str">
        <f t="shared" si="4"/>
        <v/>
      </c>
      <c r="P17" s="45" t="str">
        <f t="shared" si="4"/>
        <v/>
      </c>
      <c r="Q17" s="45" t="str">
        <f t="shared" ref="Q17:W26" si="5">IF(AND($E17&lt;&gt;"",$F17&lt;&gt;"",Q$4&lt;=$F17,Q$4+6&gt;=$E17),"█","")</f>
        <v/>
      </c>
      <c r="R17" s="45" t="str">
        <f t="shared" si="5"/>
        <v/>
      </c>
      <c r="S17" s="45" t="str">
        <f t="shared" si="5"/>
        <v/>
      </c>
      <c r="T17" s="45" t="str">
        <f t="shared" si="5"/>
        <v/>
      </c>
      <c r="U17" s="45" t="str">
        <f t="shared" si="5"/>
        <v/>
      </c>
      <c r="V17" s="45" t="str">
        <f t="shared" si="5"/>
        <v/>
      </c>
      <c r="W17" s="45" t="str">
        <f t="shared" si="5"/>
        <v/>
      </c>
      <c r="X17" s="41" t="s">
        <v>256</v>
      </c>
    </row>
    <row r="18" spans="1:24" x14ac:dyDescent="0.55000000000000004">
      <c r="A18" s="42" t="s">
        <v>273</v>
      </c>
      <c r="B18" s="42" t="s">
        <v>128</v>
      </c>
      <c r="C18" s="43" t="s">
        <v>275</v>
      </c>
      <c r="D18" s="42" t="s">
        <v>257</v>
      </c>
      <c r="E18" s="44">
        <v>46216</v>
      </c>
      <c r="F18" s="44">
        <v>46217</v>
      </c>
      <c r="G18" s="45" t="str">
        <f t="shared" si="4"/>
        <v/>
      </c>
      <c r="H18" s="45" t="str">
        <f t="shared" si="4"/>
        <v/>
      </c>
      <c r="I18" s="45" t="str">
        <f t="shared" si="4"/>
        <v/>
      </c>
      <c r="J18" s="45" t="str">
        <f t="shared" si="4"/>
        <v/>
      </c>
      <c r="K18" s="45" t="str">
        <f t="shared" si="4"/>
        <v/>
      </c>
      <c r="L18" s="45" t="str">
        <f t="shared" si="4"/>
        <v>█</v>
      </c>
      <c r="M18" s="45" t="str">
        <f t="shared" si="4"/>
        <v/>
      </c>
      <c r="N18" s="45" t="str">
        <f t="shared" si="4"/>
        <v/>
      </c>
      <c r="O18" s="45" t="str">
        <f t="shared" si="4"/>
        <v/>
      </c>
      <c r="P18" s="45" t="str">
        <f t="shared" si="4"/>
        <v/>
      </c>
      <c r="Q18" s="45" t="str">
        <f t="shared" si="5"/>
        <v/>
      </c>
      <c r="R18" s="45" t="str">
        <f t="shared" si="5"/>
        <v/>
      </c>
      <c r="S18" s="45" t="str">
        <f t="shared" si="5"/>
        <v/>
      </c>
      <c r="T18" s="45" t="str">
        <f t="shared" si="5"/>
        <v/>
      </c>
      <c r="U18" s="45" t="str">
        <f t="shared" si="5"/>
        <v/>
      </c>
      <c r="V18" s="45" t="str">
        <f t="shared" si="5"/>
        <v/>
      </c>
      <c r="W18" s="45" t="str">
        <f t="shared" si="5"/>
        <v/>
      </c>
      <c r="X18" s="41" t="s">
        <v>277</v>
      </c>
    </row>
    <row r="19" spans="1:24" x14ac:dyDescent="0.55000000000000004">
      <c r="A19" s="42" t="s">
        <v>282</v>
      </c>
      <c r="B19" s="42" t="s">
        <v>158</v>
      </c>
      <c r="C19" s="43" t="s">
        <v>283</v>
      </c>
      <c r="D19" s="42" t="s">
        <v>257</v>
      </c>
      <c r="E19" s="44">
        <v>46216</v>
      </c>
      <c r="F19" s="44">
        <v>46217</v>
      </c>
      <c r="G19" s="45" t="str">
        <f t="shared" si="4"/>
        <v/>
      </c>
      <c r="H19" s="45" t="str">
        <f t="shared" si="4"/>
        <v/>
      </c>
      <c r="I19" s="45" t="str">
        <f t="shared" si="4"/>
        <v/>
      </c>
      <c r="J19" s="45" t="str">
        <f t="shared" si="4"/>
        <v/>
      </c>
      <c r="K19" s="45" t="str">
        <f t="shared" si="4"/>
        <v/>
      </c>
      <c r="L19" s="45" t="str">
        <f t="shared" si="4"/>
        <v>█</v>
      </c>
      <c r="M19" s="45" t="str">
        <f t="shared" si="4"/>
        <v/>
      </c>
      <c r="N19" s="45" t="str">
        <f t="shared" si="4"/>
        <v/>
      </c>
      <c r="O19" s="45" t="str">
        <f t="shared" si="4"/>
        <v/>
      </c>
      <c r="P19" s="45" t="str">
        <f t="shared" si="4"/>
        <v/>
      </c>
      <c r="Q19" s="45" t="str">
        <f t="shared" si="5"/>
        <v/>
      </c>
      <c r="R19" s="45" t="str">
        <f t="shared" si="5"/>
        <v/>
      </c>
      <c r="S19" s="45" t="str">
        <f t="shared" si="5"/>
        <v/>
      </c>
      <c r="T19" s="45" t="str">
        <f t="shared" si="5"/>
        <v/>
      </c>
      <c r="U19" s="45" t="str">
        <f t="shared" si="5"/>
        <v/>
      </c>
      <c r="V19" s="45" t="str">
        <f t="shared" si="5"/>
        <v/>
      </c>
      <c r="W19" s="45" t="str">
        <f t="shared" si="5"/>
        <v/>
      </c>
      <c r="X19" s="41" t="s">
        <v>285</v>
      </c>
    </row>
    <row r="20" spans="1:24" x14ac:dyDescent="0.55000000000000004">
      <c r="A20" s="42" t="s">
        <v>278</v>
      </c>
      <c r="B20" s="42" t="s">
        <v>222</v>
      </c>
      <c r="C20" s="43" t="s">
        <v>279</v>
      </c>
      <c r="D20" s="42" t="s">
        <v>257</v>
      </c>
      <c r="E20" s="44">
        <v>46217</v>
      </c>
      <c r="F20" s="44">
        <v>46217</v>
      </c>
      <c r="G20" s="45" t="str">
        <f t="shared" si="4"/>
        <v/>
      </c>
      <c r="H20" s="45" t="str">
        <f t="shared" si="4"/>
        <v/>
      </c>
      <c r="I20" s="45" t="str">
        <f t="shared" si="4"/>
        <v/>
      </c>
      <c r="J20" s="45" t="str">
        <f t="shared" si="4"/>
        <v/>
      </c>
      <c r="K20" s="45" t="str">
        <f t="shared" si="4"/>
        <v/>
      </c>
      <c r="L20" s="45" t="str">
        <f t="shared" si="4"/>
        <v>█</v>
      </c>
      <c r="M20" s="45" t="str">
        <f t="shared" si="4"/>
        <v/>
      </c>
      <c r="N20" s="45" t="str">
        <f t="shared" si="4"/>
        <v/>
      </c>
      <c r="O20" s="45" t="str">
        <f t="shared" si="4"/>
        <v/>
      </c>
      <c r="P20" s="45" t="str">
        <f t="shared" si="4"/>
        <v/>
      </c>
      <c r="Q20" s="45" t="str">
        <f t="shared" si="5"/>
        <v/>
      </c>
      <c r="R20" s="45" t="str">
        <f t="shared" si="5"/>
        <v/>
      </c>
      <c r="S20" s="45" t="str">
        <f t="shared" si="5"/>
        <v/>
      </c>
      <c r="T20" s="45" t="str">
        <f t="shared" si="5"/>
        <v/>
      </c>
      <c r="U20" s="45" t="str">
        <f t="shared" si="5"/>
        <v/>
      </c>
      <c r="V20" s="45" t="str">
        <f t="shared" si="5"/>
        <v/>
      </c>
      <c r="W20" s="45" t="str">
        <f t="shared" si="5"/>
        <v/>
      </c>
      <c r="X20" s="41" t="s">
        <v>281</v>
      </c>
    </row>
    <row r="21" spans="1:24" x14ac:dyDescent="0.55000000000000004">
      <c r="A21" s="42" t="s">
        <v>286</v>
      </c>
      <c r="B21" s="42" t="s">
        <v>107</v>
      </c>
      <c r="C21" s="43" t="s">
        <v>108</v>
      </c>
      <c r="D21" s="42" t="s">
        <v>257</v>
      </c>
      <c r="E21" s="44">
        <v>46217</v>
      </c>
      <c r="F21" s="44">
        <v>46218</v>
      </c>
      <c r="G21" s="45" t="str">
        <f t="shared" si="4"/>
        <v/>
      </c>
      <c r="H21" s="45" t="str">
        <f t="shared" si="4"/>
        <v/>
      </c>
      <c r="I21" s="45" t="str">
        <f t="shared" si="4"/>
        <v/>
      </c>
      <c r="J21" s="45" t="str">
        <f t="shared" si="4"/>
        <v/>
      </c>
      <c r="K21" s="45" t="str">
        <f t="shared" si="4"/>
        <v/>
      </c>
      <c r="L21" s="45" t="str">
        <f t="shared" si="4"/>
        <v>█</v>
      </c>
      <c r="M21" s="45" t="str">
        <f t="shared" si="4"/>
        <v/>
      </c>
      <c r="N21" s="45" t="str">
        <f t="shared" si="4"/>
        <v/>
      </c>
      <c r="O21" s="45" t="str">
        <f t="shared" si="4"/>
        <v/>
      </c>
      <c r="P21" s="45" t="str">
        <f t="shared" si="4"/>
        <v/>
      </c>
      <c r="Q21" s="45" t="str">
        <f t="shared" si="5"/>
        <v/>
      </c>
      <c r="R21" s="45" t="str">
        <f t="shared" si="5"/>
        <v/>
      </c>
      <c r="S21" s="45" t="str">
        <f t="shared" si="5"/>
        <v/>
      </c>
      <c r="T21" s="45" t="str">
        <f t="shared" si="5"/>
        <v/>
      </c>
      <c r="U21" s="45" t="str">
        <f t="shared" si="5"/>
        <v/>
      </c>
      <c r="V21" s="45" t="str">
        <f t="shared" si="5"/>
        <v/>
      </c>
      <c r="W21" s="45" t="str">
        <f t="shared" si="5"/>
        <v/>
      </c>
      <c r="X21" s="41" t="s">
        <v>288</v>
      </c>
    </row>
    <row r="22" spans="1:24" x14ac:dyDescent="0.55000000000000004">
      <c r="A22" s="42" t="s">
        <v>289</v>
      </c>
      <c r="B22" s="42" t="s">
        <v>85</v>
      </c>
      <c r="C22" s="43" t="s">
        <v>290</v>
      </c>
      <c r="D22" s="42" t="s">
        <v>257</v>
      </c>
      <c r="E22" s="44">
        <v>46217</v>
      </c>
      <c r="F22" s="44">
        <v>46218</v>
      </c>
      <c r="G22" s="45" t="str">
        <f t="shared" si="4"/>
        <v/>
      </c>
      <c r="H22" s="45" t="str">
        <f t="shared" si="4"/>
        <v/>
      </c>
      <c r="I22" s="45" t="str">
        <f t="shared" si="4"/>
        <v/>
      </c>
      <c r="J22" s="45" t="str">
        <f t="shared" si="4"/>
        <v/>
      </c>
      <c r="K22" s="45" t="str">
        <f t="shared" si="4"/>
        <v/>
      </c>
      <c r="L22" s="45" t="str">
        <f t="shared" si="4"/>
        <v>█</v>
      </c>
      <c r="M22" s="45" t="str">
        <f t="shared" si="4"/>
        <v/>
      </c>
      <c r="N22" s="45" t="str">
        <f t="shared" si="4"/>
        <v/>
      </c>
      <c r="O22" s="45" t="str">
        <f t="shared" si="4"/>
        <v/>
      </c>
      <c r="P22" s="45" t="str">
        <f t="shared" si="4"/>
        <v/>
      </c>
      <c r="Q22" s="45" t="str">
        <f t="shared" si="5"/>
        <v/>
      </c>
      <c r="R22" s="45" t="str">
        <f t="shared" si="5"/>
        <v/>
      </c>
      <c r="S22" s="45" t="str">
        <f t="shared" si="5"/>
        <v/>
      </c>
      <c r="T22" s="45" t="str">
        <f t="shared" si="5"/>
        <v/>
      </c>
      <c r="U22" s="45" t="str">
        <f t="shared" si="5"/>
        <v/>
      </c>
      <c r="V22" s="45" t="str">
        <f t="shared" si="5"/>
        <v/>
      </c>
      <c r="W22" s="45" t="str">
        <f t="shared" si="5"/>
        <v/>
      </c>
      <c r="X22" s="41" t="s">
        <v>292</v>
      </c>
    </row>
    <row r="23" spans="1:24" x14ac:dyDescent="0.55000000000000004">
      <c r="A23" s="42" t="s">
        <v>296</v>
      </c>
      <c r="B23" s="42" t="s">
        <v>89</v>
      </c>
      <c r="C23" s="43" t="s">
        <v>90</v>
      </c>
      <c r="D23" s="42" t="s">
        <v>257</v>
      </c>
      <c r="E23" s="44">
        <v>46217</v>
      </c>
      <c r="F23" s="44">
        <v>46223</v>
      </c>
      <c r="G23" s="45" t="str">
        <f t="shared" si="4"/>
        <v/>
      </c>
      <c r="H23" s="45" t="str">
        <f t="shared" si="4"/>
        <v/>
      </c>
      <c r="I23" s="45" t="str">
        <f t="shared" si="4"/>
        <v/>
      </c>
      <c r="J23" s="45" t="str">
        <f t="shared" si="4"/>
        <v/>
      </c>
      <c r="K23" s="45" t="str">
        <f t="shared" si="4"/>
        <v/>
      </c>
      <c r="L23" s="45" t="str">
        <f t="shared" si="4"/>
        <v>█</v>
      </c>
      <c r="M23" s="45" t="str">
        <f t="shared" si="4"/>
        <v>█</v>
      </c>
      <c r="N23" s="45" t="str">
        <f t="shared" si="4"/>
        <v/>
      </c>
      <c r="O23" s="45" t="str">
        <f t="shared" si="4"/>
        <v/>
      </c>
      <c r="P23" s="45" t="str">
        <f t="shared" si="4"/>
        <v/>
      </c>
      <c r="Q23" s="45" t="str">
        <f t="shared" si="5"/>
        <v/>
      </c>
      <c r="R23" s="45" t="str">
        <f t="shared" si="5"/>
        <v/>
      </c>
      <c r="S23" s="45" t="str">
        <f t="shared" si="5"/>
        <v/>
      </c>
      <c r="T23" s="45" t="str">
        <f t="shared" si="5"/>
        <v/>
      </c>
      <c r="U23" s="45" t="str">
        <f t="shared" si="5"/>
        <v/>
      </c>
      <c r="V23" s="45" t="str">
        <f t="shared" si="5"/>
        <v/>
      </c>
      <c r="W23" s="45" t="str">
        <f t="shared" si="5"/>
        <v/>
      </c>
      <c r="X23" s="41" t="s">
        <v>298</v>
      </c>
    </row>
    <row r="24" spans="1:24" x14ac:dyDescent="0.55000000000000004">
      <c r="A24" s="42" t="s">
        <v>381</v>
      </c>
      <c r="B24" s="42" t="s">
        <v>93</v>
      </c>
      <c r="C24" s="43" t="s">
        <v>94</v>
      </c>
      <c r="D24" s="42" t="s">
        <v>382</v>
      </c>
      <c r="E24" s="44">
        <v>46218</v>
      </c>
      <c r="F24" s="44">
        <v>46220</v>
      </c>
      <c r="G24" s="46" t="str">
        <f t="shared" si="4"/>
        <v/>
      </c>
      <c r="H24" s="46" t="str">
        <f t="shared" si="4"/>
        <v/>
      </c>
      <c r="I24" s="46" t="str">
        <f t="shared" si="4"/>
        <v/>
      </c>
      <c r="J24" s="46" t="str">
        <f t="shared" si="4"/>
        <v/>
      </c>
      <c r="K24" s="46" t="str">
        <f t="shared" si="4"/>
        <v/>
      </c>
      <c r="L24" s="46" t="str">
        <f t="shared" si="4"/>
        <v>█</v>
      </c>
      <c r="M24" s="46" t="str">
        <f t="shared" si="4"/>
        <v/>
      </c>
      <c r="N24" s="46" t="str">
        <f t="shared" si="4"/>
        <v/>
      </c>
      <c r="O24" s="46" t="str">
        <f t="shared" si="4"/>
        <v/>
      </c>
      <c r="P24" s="46" t="str">
        <f t="shared" si="4"/>
        <v/>
      </c>
      <c r="Q24" s="46" t="str">
        <f t="shared" si="5"/>
        <v/>
      </c>
      <c r="R24" s="46" t="str">
        <f t="shared" si="5"/>
        <v/>
      </c>
      <c r="S24" s="46" t="str">
        <f t="shared" si="5"/>
        <v/>
      </c>
      <c r="T24" s="46" t="str">
        <f t="shared" si="5"/>
        <v/>
      </c>
      <c r="U24" s="46" t="str">
        <f t="shared" si="5"/>
        <v/>
      </c>
      <c r="V24" s="46" t="str">
        <f t="shared" si="5"/>
        <v/>
      </c>
      <c r="W24" s="46" t="str">
        <f t="shared" si="5"/>
        <v/>
      </c>
      <c r="X24" s="41" t="s">
        <v>384</v>
      </c>
    </row>
    <row r="25" spans="1:24" x14ac:dyDescent="0.55000000000000004">
      <c r="A25" s="42" t="s">
        <v>293</v>
      </c>
      <c r="B25" s="42" t="s">
        <v>81</v>
      </c>
      <c r="C25" s="43" t="s">
        <v>82</v>
      </c>
      <c r="D25" s="42" t="s">
        <v>257</v>
      </c>
      <c r="E25" s="44">
        <v>46221</v>
      </c>
      <c r="F25" s="44">
        <v>46223</v>
      </c>
      <c r="G25" s="45" t="str">
        <f t="shared" si="4"/>
        <v/>
      </c>
      <c r="H25" s="45" t="str">
        <f t="shared" si="4"/>
        <v/>
      </c>
      <c r="I25" s="45" t="str">
        <f t="shared" si="4"/>
        <v/>
      </c>
      <c r="J25" s="45" t="str">
        <f t="shared" si="4"/>
        <v/>
      </c>
      <c r="K25" s="45" t="str">
        <f t="shared" si="4"/>
        <v/>
      </c>
      <c r="L25" s="45" t="str">
        <f t="shared" si="4"/>
        <v>█</v>
      </c>
      <c r="M25" s="45" t="str">
        <f t="shared" si="4"/>
        <v>█</v>
      </c>
      <c r="N25" s="45" t="str">
        <f t="shared" si="4"/>
        <v/>
      </c>
      <c r="O25" s="45" t="str">
        <f t="shared" si="4"/>
        <v/>
      </c>
      <c r="P25" s="45" t="str">
        <f t="shared" si="4"/>
        <v/>
      </c>
      <c r="Q25" s="45" t="str">
        <f t="shared" si="5"/>
        <v/>
      </c>
      <c r="R25" s="45" t="str">
        <f t="shared" si="5"/>
        <v/>
      </c>
      <c r="S25" s="45" t="str">
        <f t="shared" si="5"/>
        <v/>
      </c>
      <c r="T25" s="45" t="str">
        <f t="shared" si="5"/>
        <v/>
      </c>
      <c r="U25" s="45" t="str">
        <f t="shared" si="5"/>
        <v/>
      </c>
      <c r="V25" s="45" t="str">
        <f t="shared" si="5"/>
        <v/>
      </c>
      <c r="W25" s="45" t="str">
        <f t="shared" si="5"/>
        <v/>
      </c>
      <c r="X25" s="41" t="s">
        <v>295</v>
      </c>
    </row>
    <row r="26" spans="1:24" x14ac:dyDescent="0.55000000000000004">
      <c r="A26" s="42" t="s">
        <v>299</v>
      </c>
      <c r="B26" s="42" t="s">
        <v>77</v>
      </c>
      <c r="C26" s="43" t="s">
        <v>300</v>
      </c>
      <c r="D26" s="42" t="s">
        <v>257</v>
      </c>
      <c r="E26" s="44">
        <v>46224</v>
      </c>
      <c r="F26" s="44">
        <v>46224</v>
      </c>
      <c r="G26" s="45" t="str">
        <f t="shared" si="4"/>
        <v/>
      </c>
      <c r="H26" s="45" t="str">
        <f t="shared" si="4"/>
        <v/>
      </c>
      <c r="I26" s="45" t="str">
        <f t="shared" si="4"/>
        <v/>
      </c>
      <c r="J26" s="45" t="str">
        <f t="shared" si="4"/>
        <v/>
      </c>
      <c r="K26" s="45" t="str">
        <f t="shared" si="4"/>
        <v/>
      </c>
      <c r="L26" s="45" t="str">
        <f t="shared" si="4"/>
        <v/>
      </c>
      <c r="M26" s="45" t="str">
        <f t="shared" si="4"/>
        <v>█</v>
      </c>
      <c r="N26" s="45" t="str">
        <f t="shared" si="4"/>
        <v/>
      </c>
      <c r="O26" s="45" t="str">
        <f t="shared" si="4"/>
        <v/>
      </c>
      <c r="P26" s="45" t="str">
        <f t="shared" si="4"/>
        <v/>
      </c>
      <c r="Q26" s="45" t="str">
        <f t="shared" si="5"/>
        <v/>
      </c>
      <c r="R26" s="45" t="str">
        <f t="shared" si="5"/>
        <v/>
      </c>
      <c r="S26" s="45" t="str">
        <f t="shared" si="5"/>
        <v/>
      </c>
      <c r="T26" s="45" t="str">
        <f t="shared" si="5"/>
        <v/>
      </c>
      <c r="U26" s="45" t="str">
        <f t="shared" si="5"/>
        <v/>
      </c>
      <c r="V26" s="45" t="str">
        <f t="shared" si="5"/>
        <v/>
      </c>
      <c r="W26" s="45" t="str">
        <f t="shared" si="5"/>
        <v/>
      </c>
      <c r="X26" s="41" t="s">
        <v>302</v>
      </c>
    </row>
    <row r="27" spans="1:24" x14ac:dyDescent="0.55000000000000004">
      <c r="A27" s="42" t="s">
        <v>303</v>
      </c>
      <c r="B27" s="42" t="s">
        <v>166</v>
      </c>
      <c r="C27" s="43" t="s">
        <v>167</v>
      </c>
      <c r="D27" s="42" t="s">
        <v>257</v>
      </c>
      <c r="E27" s="44">
        <v>46224</v>
      </c>
      <c r="F27" s="44">
        <v>46224</v>
      </c>
      <c r="G27" s="45" t="str">
        <f t="shared" ref="G27:P36" si="6">IF(AND($E27&lt;&gt;"",$F27&lt;&gt;"",G$4&lt;=$F27,G$4+6&gt;=$E27),"█","")</f>
        <v/>
      </c>
      <c r="H27" s="45" t="str">
        <f t="shared" si="6"/>
        <v/>
      </c>
      <c r="I27" s="45" t="str">
        <f t="shared" si="6"/>
        <v/>
      </c>
      <c r="J27" s="45" t="str">
        <f t="shared" si="6"/>
        <v/>
      </c>
      <c r="K27" s="45" t="str">
        <f t="shared" si="6"/>
        <v/>
      </c>
      <c r="L27" s="45" t="str">
        <f t="shared" si="6"/>
        <v/>
      </c>
      <c r="M27" s="45" t="str">
        <f t="shared" si="6"/>
        <v>█</v>
      </c>
      <c r="N27" s="45" t="str">
        <f t="shared" si="6"/>
        <v/>
      </c>
      <c r="O27" s="45" t="str">
        <f t="shared" si="6"/>
        <v/>
      </c>
      <c r="P27" s="45" t="str">
        <f t="shared" si="6"/>
        <v/>
      </c>
      <c r="Q27" s="45" t="str">
        <f t="shared" ref="Q27:W36" si="7">IF(AND($E27&lt;&gt;"",$F27&lt;&gt;"",Q$4&lt;=$F27,Q$4+6&gt;=$E27),"█","")</f>
        <v/>
      </c>
      <c r="R27" s="45" t="str">
        <f t="shared" si="7"/>
        <v/>
      </c>
      <c r="S27" s="45" t="str">
        <f t="shared" si="7"/>
        <v/>
      </c>
      <c r="T27" s="45" t="str">
        <f t="shared" si="7"/>
        <v/>
      </c>
      <c r="U27" s="45" t="str">
        <f t="shared" si="7"/>
        <v/>
      </c>
      <c r="V27" s="45" t="str">
        <f t="shared" si="7"/>
        <v/>
      </c>
      <c r="W27" s="45" t="str">
        <f t="shared" si="7"/>
        <v/>
      </c>
      <c r="X27" s="41" t="s">
        <v>305</v>
      </c>
    </row>
    <row r="28" spans="1:24" ht="27.6" x14ac:dyDescent="0.55000000000000004">
      <c r="A28" s="42" t="s">
        <v>306</v>
      </c>
      <c r="B28" s="42" t="s">
        <v>112</v>
      </c>
      <c r="C28" s="43" t="s">
        <v>307</v>
      </c>
      <c r="D28" s="42" t="s">
        <v>257</v>
      </c>
      <c r="E28" s="44">
        <v>46224</v>
      </c>
      <c r="F28" s="44">
        <v>46225</v>
      </c>
      <c r="G28" s="45" t="str">
        <f t="shared" si="6"/>
        <v/>
      </c>
      <c r="H28" s="45" t="str">
        <f t="shared" si="6"/>
        <v/>
      </c>
      <c r="I28" s="45" t="str">
        <f t="shared" si="6"/>
        <v/>
      </c>
      <c r="J28" s="45" t="str">
        <f t="shared" si="6"/>
        <v/>
      </c>
      <c r="K28" s="45" t="str">
        <f t="shared" si="6"/>
        <v/>
      </c>
      <c r="L28" s="45" t="str">
        <f t="shared" si="6"/>
        <v/>
      </c>
      <c r="M28" s="45" t="str">
        <f t="shared" si="6"/>
        <v>█</v>
      </c>
      <c r="N28" s="45" t="str">
        <f t="shared" si="6"/>
        <v/>
      </c>
      <c r="O28" s="45" t="str">
        <f t="shared" si="6"/>
        <v/>
      </c>
      <c r="P28" s="45" t="str">
        <f t="shared" si="6"/>
        <v/>
      </c>
      <c r="Q28" s="45" t="str">
        <f t="shared" si="7"/>
        <v/>
      </c>
      <c r="R28" s="45" t="str">
        <f t="shared" si="7"/>
        <v/>
      </c>
      <c r="S28" s="45" t="str">
        <f t="shared" si="7"/>
        <v/>
      </c>
      <c r="T28" s="45" t="str">
        <f t="shared" si="7"/>
        <v/>
      </c>
      <c r="U28" s="45" t="str">
        <f t="shared" si="7"/>
        <v/>
      </c>
      <c r="V28" s="45" t="str">
        <f t="shared" si="7"/>
        <v/>
      </c>
      <c r="W28" s="45" t="str">
        <f t="shared" si="7"/>
        <v/>
      </c>
      <c r="X28" s="41" t="s">
        <v>309</v>
      </c>
    </row>
    <row r="29" spans="1:24" x14ac:dyDescent="0.55000000000000004">
      <c r="A29" s="42" t="s">
        <v>310</v>
      </c>
      <c r="B29" s="42" t="s">
        <v>170</v>
      </c>
      <c r="C29" s="43" t="s">
        <v>311</v>
      </c>
      <c r="D29" s="42" t="s">
        <v>257</v>
      </c>
      <c r="E29" s="44">
        <v>46225</v>
      </c>
      <c r="F29" s="44">
        <v>46225</v>
      </c>
      <c r="G29" s="45" t="str">
        <f t="shared" si="6"/>
        <v/>
      </c>
      <c r="H29" s="45" t="str">
        <f t="shared" si="6"/>
        <v/>
      </c>
      <c r="I29" s="45" t="str">
        <f t="shared" si="6"/>
        <v/>
      </c>
      <c r="J29" s="45" t="str">
        <f t="shared" si="6"/>
        <v/>
      </c>
      <c r="K29" s="45" t="str">
        <f t="shared" si="6"/>
        <v/>
      </c>
      <c r="L29" s="45" t="str">
        <f t="shared" si="6"/>
        <v/>
      </c>
      <c r="M29" s="45" t="str">
        <f t="shared" si="6"/>
        <v>█</v>
      </c>
      <c r="N29" s="45" t="str">
        <f t="shared" si="6"/>
        <v/>
      </c>
      <c r="O29" s="45" t="str">
        <f t="shared" si="6"/>
        <v/>
      </c>
      <c r="P29" s="45" t="str">
        <f t="shared" si="6"/>
        <v/>
      </c>
      <c r="Q29" s="45" t="str">
        <f t="shared" si="7"/>
        <v/>
      </c>
      <c r="R29" s="45" t="str">
        <f t="shared" si="7"/>
        <v/>
      </c>
      <c r="S29" s="45" t="str">
        <f t="shared" si="7"/>
        <v/>
      </c>
      <c r="T29" s="45" t="str">
        <f t="shared" si="7"/>
        <v/>
      </c>
      <c r="U29" s="45" t="str">
        <f t="shared" si="7"/>
        <v/>
      </c>
      <c r="V29" s="45" t="str">
        <f t="shared" si="7"/>
        <v/>
      </c>
      <c r="W29" s="45" t="str">
        <f t="shared" si="7"/>
        <v/>
      </c>
      <c r="X29" s="41" t="s">
        <v>313</v>
      </c>
    </row>
    <row r="30" spans="1:24" x14ac:dyDescent="0.55000000000000004">
      <c r="A30" s="42" t="s">
        <v>314</v>
      </c>
      <c r="B30" s="42" t="s">
        <v>174</v>
      </c>
      <c r="C30" s="43" t="s">
        <v>175</v>
      </c>
      <c r="D30" s="42" t="s">
        <v>257</v>
      </c>
      <c r="E30" s="44">
        <v>46227</v>
      </c>
      <c r="F30" s="44">
        <v>46227</v>
      </c>
      <c r="G30" s="45" t="str">
        <f t="shared" si="6"/>
        <v/>
      </c>
      <c r="H30" s="45" t="str">
        <f t="shared" si="6"/>
        <v/>
      </c>
      <c r="I30" s="45" t="str">
        <f t="shared" si="6"/>
        <v/>
      </c>
      <c r="J30" s="45" t="str">
        <f t="shared" si="6"/>
        <v/>
      </c>
      <c r="K30" s="45" t="str">
        <f t="shared" si="6"/>
        <v/>
      </c>
      <c r="L30" s="45" t="str">
        <f t="shared" si="6"/>
        <v/>
      </c>
      <c r="M30" s="45" t="str">
        <f t="shared" si="6"/>
        <v>█</v>
      </c>
      <c r="N30" s="45" t="str">
        <f t="shared" si="6"/>
        <v/>
      </c>
      <c r="O30" s="45" t="str">
        <f t="shared" si="6"/>
        <v/>
      </c>
      <c r="P30" s="45" t="str">
        <f t="shared" si="6"/>
        <v/>
      </c>
      <c r="Q30" s="45" t="str">
        <f t="shared" si="7"/>
        <v/>
      </c>
      <c r="R30" s="45" t="str">
        <f t="shared" si="7"/>
        <v/>
      </c>
      <c r="S30" s="45" t="str">
        <f t="shared" si="7"/>
        <v/>
      </c>
      <c r="T30" s="45" t="str">
        <f t="shared" si="7"/>
        <v/>
      </c>
      <c r="U30" s="45" t="str">
        <f t="shared" si="7"/>
        <v/>
      </c>
      <c r="V30" s="45" t="str">
        <f t="shared" si="7"/>
        <v/>
      </c>
      <c r="W30" s="45" t="str">
        <f t="shared" si="7"/>
        <v/>
      </c>
      <c r="X30" s="41" t="s">
        <v>316</v>
      </c>
    </row>
    <row r="31" spans="1:24" x14ac:dyDescent="0.55000000000000004">
      <c r="A31" s="42" t="s">
        <v>317</v>
      </c>
      <c r="B31" s="42" t="s">
        <v>182</v>
      </c>
      <c r="C31" s="43" t="s">
        <v>183</v>
      </c>
      <c r="D31" s="42" t="s">
        <v>257</v>
      </c>
      <c r="E31" s="44">
        <v>46227</v>
      </c>
      <c r="F31" s="44">
        <v>46227</v>
      </c>
      <c r="G31" s="45" t="str">
        <f t="shared" si="6"/>
        <v/>
      </c>
      <c r="H31" s="45" t="str">
        <f t="shared" si="6"/>
        <v/>
      </c>
      <c r="I31" s="45" t="str">
        <f t="shared" si="6"/>
        <v/>
      </c>
      <c r="J31" s="45" t="str">
        <f t="shared" si="6"/>
        <v/>
      </c>
      <c r="K31" s="45" t="str">
        <f t="shared" si="6"/>
        <v/>
      </c>
      <c r="L31" s="45" t="str">
        <f t="shared" si="6"/>
        <v/>
      </c>
      <c r="M31" s="45" t="str">
        <f t="shared" si="6"/>
        <v>█</v>
      </c>
      <c r="N31" s="45" t="str">
        <f t="shared" si="6"/>
        <v/>
      </c>
      <c r="O31" s="45" t="str">
        <f t="shared" si="6"/>
        <v/>
      </c>
      <c r="P31" s="45" t="str">
        <f t="shared" si="6"/>
        <v/>
      </c>
      <c r="Q31" s="45" t="str">
        <f t="shared" si="7"/>
        <v/>
      </c>
      <c r="R31" s="45" t="str">
        <f t="shared" si="7"/>
        <v/>
      </c>
      <c r="S31" s="45" t="str">
        <f t="shared" si="7"/>
        <v/>
      </c>
      <c r="T31" s="45" t="str">
        <f t="shared" si="7"/>
        <v/>
      </c>
      <c r="U31" s="45" t="str">
        <f t="shared" si="7"/>
        <v/>
      </c>
      <c r="V31" s="45" t="str">
        <f t="shared" si="7"/>
        <v/>
      </c>
      <c r="W31" s="45" t="str">
        <f t="shared" si="7"/>
        <v/>
      </c>
      <c r="X31" s="41" t="s">
        <v>319</v>
      </c>
    </row>
    <row r="32" spans="1:24" x14ac:dyDescent="0.55000000000000004">
      <c r="A32" s="42" t="s">
        <v>330</v>
      </c>
      <c r="B32" s="42" t="s">
        <v>198</v>
      </c>
      <c r="C32" s="43" t="s">
        <v>199</v>
      </c>
      <c r="D32" s="42" t="s">
        <v>257</v>
      </c>
      <c r="E32" s="44">
        <v>46227</v>
      </c>
      <c r="F32" s="44">
        <v>46228</v>
      </c>
      <c r="G32" s="45" t="str">
        <f t="shared" si="6"/>
        <v/>
      </c>
      <c r="H32" s="45" t="str">
        <f t="shared" si="6"/>
        <v/>
      </c>
      <c r="I32" s="45" t="str">
        <f t="shared" si="6"/>
        <v/>
      </c>
      <c r="J32" s="45" t="str">
        <f t="shared" si="6"/>
        <v/>
      </c>
      <c r="K32" s="45" t="str">
        <f t="shared" si="6"/>
        <v/>
      </c>
      <c r="L32" s="45" t="str">
        <f t="shared" si="6"/>
        <v/>
      </c>
      <c r="M32" s="45" t="str">
        <f t="shared" si="6"/>
        <v>█</v>
      </c>
      <c r="N32" s="45" t="str">
        <f t="shared" si="6"/>
        <v/>
      </c>
      <c r="O32" s="45" t="str">
        <f t="shared" si="6"/>
        <v/>
      </c>
      <c r="P32" s="45" t="str">
        <f t="shared" si="6"/>
        <v/>
      </c>
      <c r="Q32" s="45" t="str">
        <f t="shared" si="7"/>
        <v/>
      </c>
      <c r="R32" s="45" t="str">
        <f t="shared" si="7"/>
        <v/>
      </c>
      <c r="S32" s="45" t="str">
        <f t="shared" si="7"/>
        <v/>
      </c>
      <c r="T32" s="45" t="str">
        <f t="shared" si="7"/>
        <v/>
      </c>
      <c r="U32" s="45" t="str">
        <f t="shared" si="7"/>
        <v/>
      </c>
      <c r="V32" s="45" t="str">
        <f t="shared" si="7"/>
        <v/>
      </c>
      <c r="W32" s="45" t="str">
        <f t="shared" si="7"/>
        <v/>
      </c>
      <c r="X32" s="41" t="s">
        <v>332</v>
      </c>
    </row>
    <row r="33" spans="1:24" x14ac:dyDescent="0.55000000000000004">
      <c r="A33" s="42" t="s">
        <v>340</v>
      </c>
      <c r="B33" s="42" t="s">
        <v>116</v>
      </c>
      <c r="C33" s="43" t="s">
        <v>117</v>
      </c>
      <c r="D33" s="42" t="s">
        <v>257</v>
      </c>
      <c r="E33" s="44">
        <v>46227</v>
      </c>
      <c r="F33" s="44">
        <v>46228</v>
      </c>
      <c r="G33" s="45" t="str">
        <f t="shared" si="6"/>
        <v/>
      </c>
      <c r="H33" s="45" t="str">
        <f t="shared" si="6"/>
        <v/>
      </c>
      <c r="I33" s="45" t="str">
        <f t="shared" si="6"/>
        <v/>
      </c>
      <c r="J33" s="45" t="str">
        <f t="shared" si="6"/>
        <v/>
      </c>
      <c r="K33" s="45" t="str">
        <f t="shared" si="6"/>
        <v/>
      </c>
      <c r="L33" s="45" t="str">
        <f t="shared" si="6"/>
        <v/>
      </c>
      <c r="M33" s="45" t="str">
        <f t="shared" si="6"/>
        <v>█</v>
      </c>
      <c r="N33" s="45" t="str">
        <f t="shared" si="6"/>
        <v/>
      </c>
      <c r="O33" s="45" t="str">
        <f t="shared" si="6"/>
        <v/>
      </c>
      <c r="P33" s="45" t="str">
        <f t="shared" si="6"/>
        <v/>
      </c>
      <c r="Q33" s="45" t="str">
        <f t="shared" si="7"/>
        <v/>
      </c>
      <c r="R33" s="45" t="str">
        <f t="shared" si="7"/>
        <v/>
      </c>
      <c r="S33" s="45" t="str">
        <f t="shared" si="7"/>
        <v/>
      </c>
      <c r="T33" s="45" t="str">
        <f t="shared" si="7"/>
        <v/>
      </c>
      <c r="U33" s="45" t="str">
        <f t="shared" si="7"/>
        <v/>
      </c>
      <c r="V33" s="45" t="str">
        <f t="shared" si="7"/>
        <v/>
      </c>
      <c r="W33" s="45" t="str">
        <f t="shared" si="7"/>
        <v/>
      </c>
      <c r="X33" s="41" t="s">
        <v>342</v>
      </c>
    </row>
    <row r="34" spans="1:24" x14ac:dyDescent="0.55000000000000004">
      <c r="A34" s="42" t="s">
        <v>320</v>
      </c>
      <c r="B34" s="42" t="s">
        <v>178</v>
      </c>
      <c r="C34" s="43" t="s">
        <v>179</v>
      </c>
      <c r="D34" s="42" t="s">
        <v>257</v>
      </c>
      <c r="E34" s="44">
        <v>46228</v>
      </c>
      <c r="F34" s="44">
        <v>46228</v>
      </c>
      <c r="G34" s="45" t="str">
        <f t="shared" si="6"/>
        <v/>
      </c>
      <c r="H34" s="45" t="str">
        <f t="shared" si="6"/>
        <v/>
      </c>
      <c r="I34" s="45" t="str">
        <f t="shared" si="6"/>
        <v/>
      </c>
      <c r="J34" s="45" t="str">
        <f t="shared" si="6"/>
        <v/>
      </c>
      <c r="K34" s="45" t="str">
        <f t="shared" si="6"/>
        <v/>
      </c>
      <c r="L34" s="45" t="str">
        <f t="shared" si="6"/>
        <v/>
      </c>
      <c r="M34" s="45" t="str">
        <f t="shared" si="6"/>
        <v>█</v>
      </c>
      <c r="N34" s="45" t="str">
        <f t="shared" si="6"/>
        <v/>
      </c>
      <c r="O34" s="45" t="str">
        <f t="shared" si="6"/>
        <v/>
      </c>
      <c r="P34" s="45" t="str">
        <f t="shared" si="6"/>
        <v/>
      </c>
      <c r="Q34" s="45" t="str">
        <f t="shared" si="7"/>
        <v/>
      </c>
      <c r="R34" s="45" t="str">
        <f t="shared" si="7"/>
        <v/>
      </c>
      <c r="S34" s="45" t="str">
        <f t="shared" si="7"/>
        <v/>
      </c>
      <c r="T34" s="45" t="str">
        <f t="shared" si="7"/>
        <v/>
      </c>
      <c r="U34" s="45" t="str">
        <f t="shared" si="7"/>
        <v/>
      </c>
      <c r="V34" s="45" t="str">
        <f t="shared" si="7"/>
        <v/>
      </c>
      <c r="W34" s="45" t="str">
        <f t="shared" si="7"/>
        <v/>
      </c>
      <c r="X34" s="41" t="s">
        <v>322</v>
      </c>
    </row>
    <row r="35" spans="1:24" x14ac:dyDescent="0.55000000000000004">
      <c r="A35" s="42" t="s">
        <v>323</v>
      </c>
      <c r="B35" s="42" t="s">
        <v>186</v>
      </c>
      <c r="C35" s="43" t="s">
        <v>187</v>
      </c>
      <c r="D35" s="42" t="s">
        <v>257</v>
      </c>
      <c r="E35" s="44">
        <v>46228</v>
      </c>
      <c r="F35" s="44">
        <v>46228</v>
      </c>
      <c r="G35" s="45" t="str">
        <f t="shared" si="6"/>
        <v/>
      </c>
      <c r="H35" s="45" t="str">
        <f t="shared" si="6"/>
        <v/>
      </c>
      <c r="I35" s="45" t="str">
        <f t="shared" si="6"/>
        <v/>
      </c>
      <c r="J35" s="45" t="str">
        <f t="shared" si="6"/>
        <v/>
      </c>
      <c r="K35" s="45" t="str">
        <f t="shared" si="6"/>
        <v/>
      </c>
      <c r="L35" s="45" t="str">
        <f t="shared" si="6"/>
        <v/>
      </c>
      <c r="M35" s="45" t="str">
        <f t="shared" si="6"/>
        <v>█</v>
      </c>
      <c r="N35" s="45" t="str">
        <f t="shared" si="6"/>
        <v/>
      </c>
      <c r="O35" s="45" t="str">
        <f t="shared" si="6"/>
        <v/>
      </c>
      <c r="P35" s="45" t="str">
        <f t="shared" si="6"/>
        <v/>
      </c>
      <c r="Q35" s="45" t="str">
        <f t="shared" si="7"/>
        <v/>
      </c>
      <c r="R35" s="45" t="str">
        <f t="shared" si="7"/>
        <v/>
      </c>
      <c r="S35" s="45" t="str">
        <f t="shared" si="7"/>
        <v/>
      </c>
      <c r="T35" s="45" t="str">
        <f t="shared" si="7"/>
        <v/>
      </c>
      <c r="U35" s="45" t="str">
        <f t="shared" si="7"/>
        <v/>
      </c>
      <c r="V35" s="45" t="str">
        <f t="shared" si="7"/>
        <v/>
      </c>
      <c r="W35" s="45" t="str">
        <f t="shared" si="7"/>
        <v/>
      </c>
      <c r="X35" s="41" t="s">
        <v>325</v>
      </c>
    </row>
    <row r="36" spans="1:24" x14ac:dyDescent="0.55000000000000004">
      <c r="A36" s="42" t="s">
        <v>326</v>
      </c>
      <c r="B36" s="42" t="s">
        <v>190</v>
      </c>
      <c r="C36" s="43" t="s">
        <v>191</v>
      </c>
      <c r="D36" s="42" t="s">
        <v>257</v>
      </c>
      <c r="E36" s="44">
        <v>46228</v>
      </c>
      <c r="F36" s="44">
        <v>46228</v>
      </c>
      <c r="G36" s="45" t="str">
        <f t="shared" si="6"/>
        <v/>
      </c>
      <c r="H36" s="45" t="str">
        <f t="shared" si="6"/>
        <v/>
      </c>
      <c r="I36" s="45" t="str">
        <f t="shared" si="6"/>
        <v/>
      </c>
      <c r="J36" s="45" t="str">
        <f t="shared" si="6"/>
        <v/>
      </c>
      <c r="K36" s="45" t="str">
        <f t="shared" si="6"/>
        <v/>
      </c>
      <c r="L36" s="45" t="str">
        <f t="shared" si="6"/>
        <v/>
      </c>
      <c r="M36" s="45" t="str">
        <f t="shared" si="6"/>
        <v>█</v>
      </c>
      <c r="N36" s="45" t="str">
        <f t="shared" si="6"/>
        <v/>
      </c>
      <c r="O36" s="45" t="str">
        <f t="shared" si="6"/>
        <v/>
      </c>
      <c r="P36" s="45" t="str">
        <f t="shared" si="6"/>
        <v/>
      </c>
      <c r="Q36" s="45" t="str">
        <f t="shared" si="7"/>
        <v/>
      </c>
      <c r="R36" s="45" t="str">
        <f t="shared" si="7"/>
        <v/>
      </c>
      <c r="S36" s="45" t="str">
        <f t="shared" si="7"/>
        <v/>
      </c>
      <c r="T36" s="45" t="str">
        <f t="shared" si="7"/>
        <v/>
      </c>
      <c r="U36" s="45" t="str">
        <f t="shared" si="7"/>
        <v/>
      </c>
      <c r="V36" s="45" t="str">
        <f t="shared" si="7"/>
        <v/>
      </c>
      <c r="W36" s="45" t="str">
        <f t="shared" si="7"/>
        <v/>
      </c>
      <c r="X36" s="41" t="s">
        <v>325</v>
      </c>
    </row>
    <row r="37" spans="1:24" x14ac:dyDescent="0.55000000000000004">
      <c r="A37" s="42" t="s">
        <v>328</v>
      </c>
      <c r="B37" s="42" t="s">
        <v>194</v>
      </c>
      <c r="C37" s="43" t="s">
        <v>195</v>
      </c>
      <c r="D37" s="42" t="s">
        <v>257</v>
      </c>
      <c r="E37" s="44">
        <v>46228</v>
      </c>
      <c r="F37" s="44">
        <v>46228</v>
      </c>
      <c r="G37" s="45" t="str">
        <f t="shared" ref="G37:P46" si="8">IF(AND($E37&lt;&gt;"",$F37&lt;&gt;"",G$4&lt;=$F37,G$4+6&gt;=$E37),"█","")</f>
        <v/>
      </c>
      <c r="H37" s="45" t="str">
        <f t="shared" si="8"/>
        <v/>
      </c>
      <c r="I37" s="45" t="str">
        <f t="shared" si="8"/>
        <v/>
      </c>
      <c r="J37" s="45" t="str">
        <f t="shared" si="8"/>
        <v/>
      </c>
      <c r="K37" s="45" t="str">
        <f t="shared" si="8"/>
        <v/>
      </c>
      <c r="L37" s="45" t="str">
        <f t="shared" si="8"/>
        <v/>
      </c>
      <c r="M37" s="45" t="str">
        <f t="shared" si="8"/>
        <v>█</v>
      </c>
      <c r="N37" s="45" t="str">
        <f t="shared" si="8"/>
        <v/>
      </c>
      <c r="O37" s="45" t="str">
        <f t="shared" si="8"/>
        <v/>
      </c>
      <c r="P37" s="45" t="str">
        <f t="shared" si="8"/>
        <v/>
      </c>
      <c r="Q37" s="45" t="str">
        <f t="shared" ref="Q37:W46" si="9">IF(AND($E37&lt;&gt;"",$F37&lt;&gt;"",Q$4&lt;=$F37,Q$4+6&gt;=$E37),"█","")</f>
        <v/>
      </c>
      <c r="R37" s="45" t="str">
        <f t="shared" si="9"/>
        <v/>
      </c>
      <c r="S37" s="45" t="str">
        <f t="shared" si="9"/>
        <v/>
      </c>
      <c r="T37" s="45" t="str">
        <f t="shared" si="9"/>
        <v/>
      </c>
      <c r="U37" s="45" t="str">
        <f t="shared" si="9"/>
        <v/>
      </c>
      <c r="V37" s="45" t="str">
        <f t="shared" si="9"/>
        <v/>
      </c>
      <c r="W37" s="45" t="str">
        <f t="shared" si="9"/>
        <v/>
      </c>
      <c r="X37" s="41" t="s">
        <v>325</v>
      </c>
    </row>
    <row r="38" spans="1:24" x14ac:dyDescent="0.55000000000000004">
      <c r="A38" s="42" t="s">
        <v>333</v>
      </c>
      <c r="B38" s="42" t="s">
        <v>202</v>
      </c>
      <c r="C38" s="43" t="s">
        <v>334</v>
      </c>
      <c r="D38" s="42" t="s">
        <v>257</v>
      </c>
      <c r="E38" s="44">
        <v>46228</v>
      </c>
      <c r="F38" s="44">
        <v>46228</v>
      </c>
      <c r="G38" s="45" t="str">
        <f t="shared" si="8"/>
        <v/>
      </c>
      <c r="H38" s="45" t="str">
        <f t="shared" si="8"/>
        <v/>
      </c>
      <c r="I38" s="45" t="str">
        <f t="shared" si="8"/>
        <v/>
      </c>
      <c r="J38" s="45" t="str">
        <f t="shared" si="8"/>
        <v/>
      </c>
      <c r="K38" s="45" t="str">
        <f t="shared" si="8"/>
        <v/>
      </c>
      <c r="L38" s="45" t="str">
        <f t="shared" si="8"/>
        <v/>
      </c>
      <c r="M38" s="45" t="str">
        <f t="shared" si="8"/>
        <v>█</v>
      </c>
      <c r="N38" s="45" t="str">
        <f t="shared" si="8"/>
        <v/>
      </c>
      <c r="O38" s="45" t="str">
        <f t="shared" si="8"/>
        <v/>
      </c>
      <c r="P38" s="45" t="str">
        <f t="shared" si="8"/>
        <v/>
      </c>
      <c r="Q38" s="45" t="str">
        <f t="shared" si="9"/>
        <v/>
      </c>
      <c r="R38" s="45" t="str">
        <f t="shared" si="9"/>
        <v/>
      </c>
      <c r="S38" s="45" t="str">
        <f t="shared" si="9"/>
        <v/>
      </c>
      <c r="T38" s="45" t="str">
        <f t="shared" si="9"/>
        <v/>
      </c>
      <c r="U38" s="45" t="str">
        <f t="shared" si="9"/>
        <v/>
      </c>
      <c r="V38" s="45" t="str">
        <f t="shared" si="9"/>
        <v/>
      </c>
      <c r="W38" s="45" t="str">
        <f t="shared" si="9"/>
        <v/>
      </c>
      <c r="X38" s="41" t="s">
        <v>336</v>
      </c>
    </row>
    <row r="39" spans="1:24" x14ac:dyDescent="0.55000000000000004">
      <c r="A39" s="42" t="s">
        <v>337</v>
      </c>
      <c r="B39" s="42" t="s">
        <v>206</v>
      </c>
      <c r="C39" s="43" t="s">
        <v>338</v>
      </c>
      <c r="D39" s="42" t="s">
        <v>257</v>
      </c>
      <c r="E39" s="44">
        <v>46228</v>
      </c>
      <c r="F39" s="44">
        <v>46228</v>
      </c>
      <c r="G39" s="45" t="str">
        <f t="shared" si="8"/>
        <v/>
      </c>
      <c r="H39" s="45" t="str">
        <f t="shared" si="8"/>
        <v/>
      </c>
      <c r="I39" s="45" t="str">
        <f t="shared" si="8"/>
        <v/>
      </c>
      <c r="J39" s="45" t="str">
        <f t="shared" si="8"/>
        <v/>
      </c>
      <c r="K39" s="45" t="str">
        <f t="shared" si="8"/>
        <v/>
      </c>
      <c r="L39" s="45" t="str">
        <f t="shared" si="8"/>
        <v/>
      </c>
      <c r="M39" s="45" t="str">
        <f t="shared" si="8"/>
        <v>█</v>
      </c>
      <c r="N39" s="45" t="str">
        <f t="shared" si="8"/>
        <v/>
      </c>
      <c r="O39" s="45" t="str">
        <f t="shared" si="8"/>
        <v/>
      </c>
      <c r="P39" s="45" t="str">
        <f t="shared" si="8"/>
        <v/>
      </c>
      <c r="Q39" s="45" t="str">
        <f t="shared" si="9"/>
        <v/>
      </c>
      <c r="R39" s="45" t="str">
        <f t="shared" si="9"/>
        <v/>
      </c>
      <c r="S39" s="45" t="str">
        <f t="shared" si="9"/>
        <v/>
      </c>
      <c r="T39" s="45" t="str">
        <f t="shared" si="9"/>
        <v/>
      </c>
      <c r="U39" s="45" t="str">
        <f t="shared" si="9"/>
        <v/>
      </c>
      <c r="V39" s="45" t="str">
        <f t="shared" si="9"/>
        <v/>
      </c>
      <c r="W39" s="45" t="str">
        <f t="shared" si="9"/>
        <v/>
      </c>
      <c r="X39" s="41" t="s">
        <v>336</v>
      </c>
    </row>
    <row r="40" spans="1:24" x14ac:dyDescent="0.55000000000000004">
      <c r="A40" s="42" t="s">
        <v>343</v>
      </c>
      <c r="B40" s="42" t="s">
        <v>120</v>
      </c>
      <c r="C40" s="43" t="s">
        <v>121</v>
      </c>
      <c r="D40" s="42" t="s">
        <v>257</v>
      </c>
      <c r="E40" s="44">
        <v>46230</v>
      </c>
      <c r="F40" s="44">
        <v>46231</v>
      </c>
      <c r="G40" s="45" t="str">
        <f t="shared" si="8"/>
        <v/>
      </c>
      <c r="H40" s="45" t="str">
        <f t="shared" si="8"/>
        <v/>
      </c>
      <c r="I40" s="45" t="str">
        <f t="shared" si="8"/>
        <v/>
      </c>
      <c r="J40" s="45" t="str">
        <f t="shared" si="8"/>
        <v/>
      </c>
      <c r="K40" s="45" t="str">
        <f t="shared" si="8"/>
        <v/>
      </c>
      <c r="L40" s="45" t="str">
        <f t="shared" si="8"/>
        <v/>
      </c>
      <c r="M40" s="45" t="str">
        <f t="shared" si="8"/>
        <v/>
      </c>
      <c r="N40" s="45" t="str">
        <f t="shared" si="8"/>
        <v>█</v>
      </c>
      <c r="O40" s="45" t="str">
        <f t="shared" si="8"/>
        <v/>
      </c>
      <c r="P40" s="45" t="str">
        <f t="shared" si="8"/>
        <v/>
      </c>
      <c r="Q40" s="45" t="str">
        <f t="shared" si="9"/>
        <v/>
      </c>
      <c r="R40" s="45" t="str">
        <f t="shared" si="9"/>
        <v/>
      </c>
      <c r="S40" s="45" t="str">
        <f t="shared" si="9"/>
        <v/>
      </c>
      <c r="T40" s="45" t="str">
        <f t="shared" si="9"/>
        <v/>
      </c>
      <c r="U40" s="45" t="str">
        <f t="shared" si="9"/>
        <v/>
      </c>
      <c r="V40" s="45" t="str">
        <f t="shared" si="9"/>
        <v/>
      </c>
      <c r="W40" s="45" t="str">
        <f t="shared" si="9"/>
        <v/>
      </c>
      <c r="X40" s="41" t="s">
        <v>345</v>
      </c>
    </row>
    <row r="41" spans="1:24" x14ac:dyDescent="0.55000000000000004">
      <c r="A41" s="42" t="s">
        <v>346</v>
      </c>
      <c r="B41" s="42" t="s">
        <v>124</v>
      </c>
      <c r="C41" s="43" t="s">
        <v>125</v>
      </c>
      <c r="D41" s="42" t="s">
        <v>257</v>
      </c>
      <c r="E41" s="44">
        <v>46231</v>
      </c>
      <c r="F41" s="44">
        <v>46231</v>
      </c>
      <c r="G41" s="45" t="str">
        <f t="shared" si="8"/>
        <v/>
      </c>
      <c r="H41" s="45" t="str">
        <f t="shared" si="8"/>
        <v/>
      </c>
      <c r="I41" s="45" t="str">
        <f t="shared" si="8"/>
        <v/>
      </c>
      <c r="J41" s="45" t="str">
        <f t="shared" si="8"/>
        <v/>
      </c>
      <c r="K41" s="45" t="str">
        <f t="shared" si="8"/>
        <v/>
      </c>
      <c r="L41" s="45" t="str">
        <f t="shared" si="8"/>
        <v/>
      </c>
      <c r="M41" s="45" t="str">
        <f t="shared" si="8"/>
        <v/>
      </c>
      <c r="N41" s="45" t="str">
        <f t="shared" si="8"/>
        <v>█</v>
      </c>
      <c r="O41" s="45" t="str">
        <f t="shared" si="8"/>
        <v/>
      </c>
      <c r="P41" s="45" t="str">
        <f t="shared" si="8"/>
        <v/>
      </c>
      <c r="Q41" s="45" t="str">
        <f t="shared" si="9"/>
        <v/>
      </c>
      <c r="R41" s="45" t="str">
        <f t="shared" si="9"/>
        <v/>
      </c>
      <c r="S41" s="45" t="str">
        <f t="shared" si="9"/>
        <v/>
      </c>
      <c r="T41" s="45" t="str">
        <f t="shared" si="9"/>
        <v/>
      </c>
      <c r="U41" s="45" t="str">
        <f t="shared" si="9"/>
        <v/>
      </c>
      <c r="V41" s="45" t="str">
        <f t="shared" si="9"/>
        <v/>
      </c>
      <c r="W41" s="45" t="str">
        <f t="shared" si="9"/>
        <v/>
      </c>
      <c r="X41" s="41" t="s">
        <v>345</v>
      </c>
    </row>
    <row r="42" spans="1:24" ht="27.6" x14ac:dyDescent="0.55000000000000004">
      <c r="A42" s="42" t="s">
        <v>354</v>
      </c>
      <c r="B42" s="42" t="s">
        <v>218</v>
      </c>
      <c r="C42" s="43" t="s">
        <v>355</v>
      </c>
      <c r="D42" s="42" t="s">
        <v>356</v>
      </c>
      <c r="E42" s="44">
        <v>46231</v>
      </c>
      <c r="F42" s="44">
        <v>46234</v>
      </c>
      <c r="G42" s="47" t="str">
        <f t="shared" si="8"/>
        <v/>
      </c>
      <c r="H42" s="47" t="str">
        <f t="shared" si="8"/>
        <v/>
      </c>
      <c r="I42" s="47" t="str">
        <f t="shared" si="8"/>
        <v/>
      </c>
      <c r="J42" s="47" t="str">
        <f t="shared" si="8"/>
        <v/>
      </c>
      <c r="K42" s="47" t="str">
        <f t="shared" si="8"/>
        <v/>
      </c>
      <c r="L42" s="47" t="str">
        <f t="shared" si="8"/>
        <v/>
      </c>
      <c r="M42" s="47" t="str">
        <f t="shared" si="8"/>
        <v/>
      </c>
      <c r="N42" s="47" t="str">
        <f t="shared" si="8"/>
        <v>█</v>
      </c>
      <c r="O42" s="47" t="str">
        <f t="shared" si="8"/>
        <v/>
      </c>
      <c r="P42" s="47" t="str">
        <f t="shared" si="8"/>
        <v/>
      </c>
      <c r="Q42" s="47" t="str">
        <f t="shared" si="9"/>
        <v/>
      </c>
      <c r="R42" s="47" t="str">
        <f t="shared" si="9"/>
        <v/>
      </c>
      <c r="S42" s="47" t="str">
        <f t="shared" si="9"/>
        <v/>
      </c>
      <c r="T42" s="47" t="str">
        <f t="shared" si="9"/>
        <v/>
      </c>
      <c r="U42" s="47" t="str">
        <f t="shared" si="9"/>
        <v/>
      </c>
      <c r="V42" s="47" t="str">
        <f t="shared" si="9"/>
        <v/>
      </c>
      <c r="W42" s="47" t="str">
        <f t="shared" si="9"/>
        <v/>
      </c>
      <c r="X42" s="41" t="s">
        <v>358</v>
      </c>
    </row>
    <row r="43" spans="1:24" x14ac:dyDescent="0.55000000000000004">
      <c r="A43" s="42" t="s">
        <v>348</v>
      </c>
      <c r="B43" s="42" t="s">
        <v>210</v>
      </c>
      <c r="C43" s="43" t="s">
        <v>211</v>
      </c>
      <c r="D43" s="42" t="s">
        <v>257</v>
      </c>
      <c r="E43" s="44">
        <v>46232</v>
      </c>
      <c r="F43" s="44">
        <v>46232</v>
      </c>
      <c r="G43" s="45" t="str">
        <f t="shared" si="8"/>
        <v/>
      </c>
      <c r="H43" s="45" t="str">
        <f t="shared" si="8"/>
        <v/>
      </c>
      <c r="I43" s="45" t="str">
        <f t="shared" si="8"/>
        <v/>
      </c>
      <c r="J43" s="45" t="str">
        <f t="shared" si="8"/>
        <v/>
      </c>
      <c r="K43" s="45" t="str">
        <f t="shared" si="8"/>
        <v/>
      </c>
      <c r="L43" s="45" t="str">
        <f t="shared" si="8"/>
        <v/>
      </c>
      <c r="M43" s="45" t="str">
        <f t="shared" si="8"/>
        <v/>
      </c>
      <c r="N43" s="45" t="str">
        <f t="shared" si="8"/>
        <v>█</v>
      </c>
      <c r="O43" s="45" t="str">
        <f t="shared" si="8"/>
        <v/>
      </c>
      <c r="P43" s="45" t="str">
        <f t="shared" si="8"/>
        <v/>
      </c>
      <c r="Q43" s="45" t="str">
        <f t="shared" si="9"/>
        <v/>
      </c>
      <c r="R43" s="45" t="str">
        <f t="shared" si="9"/>
        <v/>
      </c>
      <c r="S43" s="45" t="str">
        <f t="shared" si="9"/>
        <v/>
      </c>
      <c r="T43" s="45" t="str">
        <f t="shared" si="9"/>
        <v/>
      </c>
      <c r="U43" s="45" t="str">
        <f t="shared" si="9"/>
        <v/>
      </c>
      <c r="V43" s="45" t="str">
        <f t="shared" si="9"/>
        <v/>
      </c>
      <c r="W43" s="45" t="str">
        <f t="shared" si="9"/>
        <v/>
      </c>
      <c r="X43" s="41" t="s">
        <v>350</v>
      </c>
    </row>
    <row r="44" spans="1:24" x14ac:dyDescent="0.55000000000000004">
      <c r="A44" s="42" t="s">
        <v>351</v>
      </c>
      <c r="B44" s="42" t="s">
        <v>214</v>
      </c>
      <c r="C44" s="43" t="s">
        <v>215</v>
      </c>
      <c r="D44" s="42" t="s">
        <v>257</v>
      </c>
      <c r="E44" s="44">
        <v>46232</v>
      </c>
      <c r="F44" s="44">
        <v>46232</v>
      </c>
      <c r="G44" s="45" t="str">
        <f t="shared" si="8"/>
        <v/>
      </c>
      <c r="H44" s="45" t="str">
        <f t="shared" si="8"/>
        <v/>
      </c>
      <c r="I44" s="45" t="str">
        <f t="shared" si="8"/>
        <v/>
      </c>
      <c r="J44" s="45" t="str">
        <f t="shared" si="8"/>
        <v/>
      </c>
      <c r="K44" s="45" t="str">
        <f t="shared" si="8"/>
        <v/>
      </c>
      <c r="L44" s="45" t="str">
        <f t="shared" si="8"/>
        <v/>
      </c>
      <c r="M44" s="45" t="str">
        <f t="shared" si="8"/>
        <v/>
      </c>
      <c r="N44" s="45" t="str">
        <f t="shared" si="8"/>
        <v>█</v>
      </c>
      <c r="O44" s="45" t="str">
        <f t="shared" si="8"/>
        <v/>
      </c>
      <c r="P44" s="45" t="str">
        <f t="shared" si="8"/>
        <v/>
      </c>
      <c r="Q44" s="45" t="str">
        <f t="shared" si="9"/>
        <v/>
      </c>
      <c r="R44" s="45" t="str">
        <f t="shared" si="9"/>
        <v/>
      </c>
      <c r="S44" s="45" t="str">
        <f t="shared" si="9"/>
        <v/>
      </c>
      <c r="T44" s="45" t="str">
        <f t="shared" si="9"/>
        <v/>
      </c>
      <c r="U44" s="45" t="str">
        <f t="shared" si="9"/>
        <v/>
      </c>
      <c r="V44" s="45" t="str">
        <f t="shared" si="9"/>
        <v/>
      </c>
      <c r="W44" s="45" t="str">
        <f t="shared" si="9"/>
        <v/>
      </c>
      <c r="X44" s="41" t="s">
        <v>353</v>
      </c>
    </row>
    <row r="45" spans="1:24" ht="20.399999999999999" x14ac:dyDescent="0.55000000000000004">
      <c r="A45" s="42" t="s">
        <v>359</v>
      </c>
      <c r="B45" s="42" t="s">
        <v>240</v>
      </c>
      <c r="C45" s="43" t="s">
        <v>360</v>
      </c>
      <c r="D45" s="42" t="s">
        <v>156</v>
      </c>
      <c r="E45" s="44">
        <v>46233</v>
      </c>
      <c r="F45" s="44">
        <v>46238</v>
      </c>
      <c r="G45" s="47" t="str">
        <f t="shared" si="8"/>
        <v/>
      </c>
      <c r="H45" s="47" t="str">
        <f t="shared" si="8"/>
        <v/>
      </c>
      <c r="I45" s="47" t="str">
        <f t="shared" si="8"/>
        <v/>
      </c>
      <c r="J45" s="47" t="str">
        <f t="shared" si="8"/>
        <v/>
      </c>
      <c r="K45" s="47" t="str">
        <f t="shared" si="8"/>
        <v/>
      </c>
      <c r="L45" s="47" t="str">
        <f t="shared" si="8"/>
        <v/>
      </c>
      <c r="M45" s="47" t="str">
        <f t="shared" si="8"/>
        <v/>
      </c>
      <c r="N45" s="47" t="str">
        <f t="shared" si="8"/>
        <v>█</v>
      </c>
      <c r="O45" s="47" t="str">
        <f t="shared" si="8"/>
        <v>█</v>
      </c>
      <c r="P45" s="47" t="str">
        <f t="shared" si="8"/>
        <v/>
      </c>
      <c r="Q45" s="47" t="str">
        <f t="shared" si="9"/>
        <v/>
      </c>
      <c r="R45" s="47" t="str">
        <f t="shared" si="9"/>
        <v/>
      </c>
      <c r="S45" s="47" t="str">
        <f t="shared" si="9"/>
        <v/>
      </c>
      <c r="T45" s="47" t="str">
        <f t="shared" si="9"/>
        <v/>
      </c>
      <c r="U45" s="47" t="str">
        <f t="shared" si="9"/>
        <v/>
      </c>
      <c r="V45" s="47" t="str">
        <f t="shared" si="9"/>
        <v/>
      </c>
      <c r="W45" s="47" t="str">
        <f t="shared" si="9"/>
        <v/>
      </c>
      <c r="X45" s="41" t="s">
        <v>362</v>
      </c>
    </row>
    <row r="46" spans="1:24" ht="27.6" x14ac:dyDescent="0.55000000000000004">
      <c r="A46" s="42" t="s">
        <v>226</v>
      </c>
      <c r="B46" s="42" t="s">
        <v>363</v>
      </c>
      <c r="C46" s="43" t="s">
        <v>364</v>
      </c>
      <c r="D46" s="42" t="s">
        <v>156</v>
      </c>
      <c r="E46" s="44">
        <v>46237</v>
      </c>
      <c r="F46" s="44">
        <v>46238</v>
      </c>
      <c r="G46" s="47" t="str">
        <f t="shared" si="8"/>
        <v/>
      </c>
      <c r="H46" s="47" t="str">
        <f t="shared" si="8"/>
        <v/>
      </c>
      <c r="I46" s="47" t="str">
        <f t="shared" si="8"/>
        <v/>
      </c>
      <c r="J46" s="47" t="str">
        <f t="shared" si="8"/>
        <v/>
      </c>
      <c r="K46" s="47" t="str">
        <f t="shared" si="8"/>
        <v/>
      </c>
      <c r="L46" s="47" t="str">
        <f t="shared" si="8"/>
        <v/>
      </c>
      <c r="M46" s="47" t="str">
        <f t="shared" si="8"/>
        <v/>
      </c>
      <c r="N46" s="47" t="str">
        <f t="shared" si="8"/>
        <v/>
      </c>
      <c r="O46" s="47" t="str">
        <f t="shared" si="8"/>
        <v>█</v>
      </c>
      <c r="P46" s="47" t="str">
        <f t="shared" si="8"/>
        <v/>
      </c>
      <c r="Q46" s="47" t="str">
        <f t="shared" si="9"/>
        <v/>
      </c>
      <c r="R46" s="47" t="str">
        <f t="shared" si="9"/>
        <v/>
      </c>
      <c r="S46" s="47" t="str">
        <f t="shared" si="9"/>
        <v/>
      </c>
      <c r="T46" s="47" t="str">
        <f t="shared" si="9"/>
        <v/>
      </c>
      <c r="U46" s="47" t="str">
        <f t="shared" si="9"/>
        <v/>
      </c>
      <c r="V46" s="47" t="str">
        <f t="shared" si="9"/>
        <v/>
      </c>
      <c r="W46" s="47" t="str">
        <f t="shared" si="9"/>
        <v/>
      </c>
      <c r="X46" s="41" t="s">
        <v>366</v>
      </c>
    </row>
    <row r="47" spans="1:24" ht="20.399999999999999" x14ac:dyDescent="0.55000000000000004">
      <c r="A47" s="42" t="s">
        <v>232</v>
      </c>
      <c r="B47" s="42" t="s">
        <v>367</v>
      </c>
      <c r="C47" s="43" t="s">
        <v>233</v>
      </c>
      <c r="D47" s="42" t="s">
        <v>156</v>
      </c>
      <c r="E47" s="44">
        <v>46237</v>
      </c>
      <c r="F47" s="44">
        <v>46238</v>
      </c>
      <c r="G47" s="47" t="str">
        <f t="shared" ref="G47:P57" si="10">IF(AND($E47&lt;&gt;"",$F47&lt;&gt;"",G$4&lt;=$F47,G$4+6&gt;=$E47),"█","")</f>
        <v/>
      </c>
      <c r="H47" s="47" t="str">
        <f t="shared" si="10"/>
        <v/>
      </c>
      <c r="I47" s="47" t="str">
        <f t="shared" si="10"/>
        <v/>
      </c>
      <c r="J47" s="47" t="str">
        <f t="shared" si="10"/>
        <v/>
      </c>
      <c r="K47" s="47" t="str">
        <f t="shared" si="10"/>
        <v/>
      </c>
      <c r="L47" s="47" t="str">
        <f t="shared" si="10"/>
        <v/>
      </c>
      <c r="M47" s="47" t="str">
        <f t="shared" si="10"/>
        <v/>
      </c>
      <c r="N47" s="47" t="str">
        <f t="shared" si="10"/>
        <v/>
      </c>
      <c r="O47" s="47" t="str">
        <f t="shared" si="10"/>
        <v>█</v>
      </c>
      <c r="P47" s="47" t="str">
        <f t="shared" si="10"/>
        <v/>
      </c>
      <c r="Q47" s="47" t="str">
        <f t="shared" ref="Q47:W57" si="11">IF(AND($E47&lt;&gt;"",$F47&lt;&gt;"",Q$4&lt;=$F47,Q$4+6&gt;=$E47),"█","")</f>
        <v/>
      </c>
      <c r="R47" s="47" t="str">
        <f t="shared" si="11"/>
        <v/>
      </c>
      <c r="S47" s="47" t="str">
        <f t="shared" si="11"/>
        <v/>
      </c>
      <c r="T47" s="47" t="str">
        <f t="shared" si="11"/>
        <v/>
      </c>
      <c r="U47" s="47" t="str">
        <f t="shared" si="11"/>
        <v/>
      </c>
      <c r="V47" s="47" t="str">
        <f t="shared" si="11"/>
        <v/>
      </c>
      <c r="W47" s="47" t="str">
        <f t="shared" si="11"/>
        <v/>
      </c>
      <c r="X47" s="41" t="s">
        <v>369</v>
      </c>
    </row>
    <row r="48" spans="1:24" ht="20.399999999999999" x14ac:dyDescent="0.55000000000000004">
      <c r="A48" s="42" t="s">
        <v>236</v>
      </c>
      <c r="B48" s="42" t="s">
        <v>370</v>
      </c>
      <c r="C48" s="43" t="s">
        <v>371</v>
      </c>
      <c r="D48" s="42" t="s">
        <v>372</v>
      </c>
      <c r="E48" s="42"/>
      <c r="F48" s="42"/>
      <c r="G48" s="46" t="str">
        <f t="shared" si="10"/>
        <v/>
      </c>
      <c r="H48" s="46" t="str">
        <f t="shared" si="10"/>
        <v/>
      </c>
      <c r="I48" s="46" t="str">
        <f t="shared" si="10"/>
        <v/>
      </c>
      <c r="J48" s="46" t="str">
        <f t="shared" si="10"/>
        <v/>
      </c>
      <c r="K48" s="46" t="str">
        <f t="shared" si="10"/>
        <v/>
      </c>
      <c r="L48" s="46" t="str">
        <f t="shared" si="10"/>
        <v/>
      </c>
      <c r="M48" s="46" t="str">
        <f t="shared" si="10"/>
        <v/>
      </c>
      <c r="N48" s="46" t="str">
        <f t="shared" si="10"/>
        <v/>
      </c>
      <c r="O48" s="46" t="str">
        <f t="shared" si="10"/>
        <v/>
      </c>
      <c r="P48" s="46" t="str">
        <f t="shared" si="10"/>
        <v/>
      </c>
      <c r="Q48" s="46" t="str">
        <f t="shared" si="11"/>
        <v/>
      </c>
      <c r="R48" s="46" t="str">
        <f t="shared" si="11"/>
        <v/>
      </c>
      <c r="S48" s="46" t="str">
        <f t="shared" si="11"/>
        <v/>
      </c>
      <c r="T48" s="46" t="str">
        <f t="shared" si="11"/>
        <v/>
      </c>
      <c r="U48" s="46" t="str">
        <f t="shared" si="11"/>
        <v/>
      </c>
      <c r="V48" s="46" t="str">
        <f t="shared" si="11"/>
        <v/>
      </c>
      <c r="W48" s="46" t="str">
        <f t="shared" si="11"/>
        <v/>
      </c>
      <c r="X48" s="41" t="s">
        <v>374</v>
      </c>
    </row>
    <row r="49" spans="1:24" x14ac:dyDescent="0.55000000000000004">
      <c r="A49" s="42" t="s">
        <v>375</v>
      </c>
      <c r="B49" s="42" t="s">
        <v>103</v>
      </c>
      <c r="C49" s="43" t="s">
        <v>376</v>
      </c>
      <c r="D49" s="42" t="s">
        <v>378</v>
      </c>
      <c r="E49" s="42"/>
      <c r="F49" s="42"/>
      <c r="G49" s="46" t="str">
        <f t="shared" si="10"/>
        <v/>
      </c>
      <c r="H49" s="46" t="str">
        <f t="shared" si="10"/>
        <v/>
      </c>
      <c r="I49" s="46" t="str">
        <f t="shared" si="10"/>
        <v/>
      </c>
      <c r="J49" s="46" t="str">
        <f t="shared" si="10"/>
        <v/>
      </c>
      <c r="K49" s="46" t="str">
        <f t="shared" si="10"/>
        <v/>
      </c>
      <c r="L49" s="46" t="str">
        <f t="shared" si="10"/>
        <v/>
      </c>
      <c r="M49" s="46" t="str">
        <f t="shared" si="10"/>
        <v/>
      </c>
      <c r="N49" s="46" t="str">
        <f t="shared" si="10"/>
        <v/>
      </c>
      <c r="O49" s="46" t="str">
        <f t="shared" si="10"/>
        <v/>
      </c>
      <c r="P49" s="46" t="str">
        <f t="shared" si="10"/>
        <v/>
      </c>
      <c r="Q49" s="46" t="str">
        <f t="shared" si="11"/>
        <v/>
      </c>
      <c r="R49" s="46" t="str">
        <f t="shared" si="11"/>
        <v/>
      </c>
      <c r="S49" s="46" t="str">
        <f t="shared" si="11"/>
        <v/>
      </c>
      <c r="T49" s="46" t="str">
        <f t="shared" si="11"/>
        <v/>
      </c>
      <c r="U49" s="46" t="str">
        <f t="shared" si="11"/>
        <v/>
      </c>
      <c r="V49" s="46" t="str">
        <f t="shared" si="11"/>
        <v/>
      </c>
      <c r="W49" s="46" t="str">
        <f t="shared" si="11"/>
        <v/>
      </c>
      <c r="X49" s="41" t="s">
        <v>380</v>
      </c>
    </row>
    <row r="50" spans="1:24" x14ac:dyDescent="0.55000000000000004">
      <c r="A50" s="42" t="s">
        <v>385</v>
      </c>
      <c r="B50" s="42" t="s">
        <v>99</v>
      </c>
      <c r="C50" s="43" t="s">
        <v>100</v>
      </c>
      <c r="D50" s="42" t="s">
        <v>382</v>
      </c>
      <c r="E50" s="42"/>
      <c r="F50" s="42"/>
      <c r="G50" s="46" t="str">
        <f t="shared" si="10"/>
        <v/>
      </c>
      <c r="H50" s="46" t="str">
        <f t="shared" si="10"/>
        <v/>
      </c>
      <c r="I50" s="46" t="str">
        <f t="shared" si="10"/>
        <v/>
      </c>
      <c r="J50" s="46" t="str">
        <f t="shared" si="10"/>
        <v/>
      </c>
      <c r="K50" s="46" t="str">
        <f t="shared" si="10"/>
        <v/>
      </c>
      <c r="L50" s="46" t="str">
        <f t="shared" si="10"/>
        <v/>
      </c>
      <c r="M50" s="46" t="str">
        <f t="shared" si="10"/>
        <v/>
      </c>
      <c r="N50" s="46" t="str">
        <f t="shared" si="10"/>
        <v/>
      </c>
      <c r="O50" s="46" t="str">
        <f t="shared" si="10"/>
        <v/>
      </c>
      <c r="P50" s="46" t="str">
        <f t="shared" si="10"/>
        <v/>
      </c>
      <c r="Q50" s="46" t="str">
        <f t="shared" si="11"/>
        <v/>
      </c>
      <c r="R50" s="46" t="str">
        <f t="shared" si="11"/>
        <v/>
      </c>
      <c r="S50" s="46" t="str">
        <f t="shared" si="11"/>
        <v/>
      </c>
      <c r="T50" s="46" t="str">
        <f t="shared" si="11"/>
        <v/>
      </c>
      <c r="U50" s="46" t="str">
        <f t="shared" si="11"/>
        <v/>
      </c>
      <c r="V50" s="46" t="str">
        <f t="shared" si="11"/>
        <v/>
      </c>
      <c r="W50" s="46" t="str">
        <f t="shared" si="11"/>
        <v/>
      </c>
      <c r="X50" s="41" t="s">
        <v>387</v>
      </c>
    </row>
    <row r="51" spans="1:24" x14ac:dyDescent="0.55000000000000004">
      <c r="A51" s="42" t="s">
        <v>388</v>
      </c>
      <c r="B51" s="42" t="s">
        <v>132</v>
      </c>
      <c r="C51" s="43" t="s">
        <v>133</v>
      </c>
      <c r="D51" s="42" t="s">
        <v>382</v>
      </c>
      <c r="E51" s="42"/>
      <c r="F51" s="42"/>
      <c r="G51" s="46" t="str">
        <f t="shared" si="10"/>
        <v/>
      </c>
      <c r="H51" s="46" t="str">
        <f t="shared" si="10"/>
        <v/>
      </c>
      <c r="I51" s="46" t="str">
        <f t="shared" si="10"/>
        <v/>
      </c>
      <c r="J51" s="46" t="str">
        <f t="shared" si="10"/>
        <v/>
      </c>
      <c r="K51" s="46" t="str">
        <f t="shared" si="10"/>
        <v/>
      </c>
      <c r="L51" s="46" t="str">
        <f t="shared" si="10"/>
        <v/>
      </c>
      <c r="M51" s="46" t="str">
        <f t="shared" si="10"/>
        <v/>
      </c>
      <c r="N51" s="46" t="str">
        <f t="shared" si="10"/>
        <v/>
      </c>
      <c r="O51" s="46" t="str">
        <f t="shared" si="10"/>
        <v/>
      </c>
      <c r="P51" s="46" t="str">
        <f t="shared" si="10"/>
        <v/>
      </c>
      <c r="Q51" s="46" t="str">
        <f t="shared" si="11"/>
        <v/>
      </c>
      <c r="R51" s="46" t="str">
        <f t="shared" si="11"/>
        <v/>
      </c>
      <c r="S51" s="46" t="str">
        <f t="shared" si="11"/>
        <v/>
      </c>
      <c r="T51" s="46" t="str">
        <f t="shared" si="11"/>
        <v/>
      </c>
      <c r="U51" s="46" t="str">
        <f t="shared" si="11"/>
        <v/>
      </c>
      <c r="V51" s="46" t="str">
        <f t="shared" si="11"/>
        <v/>
      </c>
      <c r="W51" s="46" t="str">
        <f t="shared" si="11"/>
        <v/>
      </c>
      <c r="X51" s="41" t="s">
        <v>390</v>
      </c>
    </row>
    <row r="52" spans="1:24" x14ac:dyDescent="0.55000000000000004">
      <c r="A52" s="42" t="s">
        <v>391</v>
      </c>
      <c r="B52" s="42" t="s">
        <v>136</v>
      </c>
      <c r="C52" s="43" t="s">
        <v>137</v>
      </c>
      <c r="D52" s="42" t="s">
        <v>382</v>
      </c>
      <c r="E52" s="42"/>
      <c r="F52" s="42"/>
      <c r="G52" s="46" t="str">
        <f t="shared" si="10"/>
        <v/>
      </c>
      <c r="H52" s="46" t="str">
        <f t="shared" si="10"/>
        <v/>
      </c>
      <c r="I52" s="46" t="str">
        <f t="shared" si="10"/>
        <v/>
      </c>
      <c r="J52" s="46" t="str">
        <f t="shared" si="10"/>
        <v/>
      </c>
      <c r="K52" s="46" t="str">
        <f t="shared" si="10"/>
        <v/>
      </c>
      <c r="L52" s="46" t="str">
        <f t="shared" si="10"/>
        <v/>
      </c>
      <c r="M52" s="46" t="str">
        <f t="shared" si="10"/>
        <v/>
      </c>
      <c r="N52" s="46" t="str">
        <f t="shared" si="10"/>
        <v/>
      </c>
      <c r="O52" s="46" t="str">
        <f t="shared" si="10"/>
        <v/>
      </c>
      <c r="P52" s="46" t="str">
        <f t="shared" si="10"/>
        <v/>
      </c>
      <c r="Q52" s="46" t="str">
        <f t="shared" si="11"/>
        <v/>
      </c>
      <c r="R52" s="46" t="str">
        <f t="shared" si="11"/>
        <v/>
      </c>
      <c r="S52" s="46" t="str">
        <f t="shared" si="11"/>
        <v/>
      </c>
      <c r="T52" s="46" t="str">
        <f t="shared" si="11"/>
        <v/>
      </c>
      <c r="U52" s="46" t="str">
        <f t="shared" si="11"/>
        <v/>
      </c>
      <c r="V52" s="46" t="str">
        <f t="shared" si="11"/>
        <v/>
      </c>
      <c r="W52" s="46" t="str">
        <f t="shared" si="11"/>
        <v/>
      </c>
      <c r="X52" s="41" t="s">
        <v>393</v>
      </c>
    </row>
    <row r="53" spans="1:24" x14ac:dyDescent="0.55000000000000004">
      <c r="A53" s="42" t="s">
        <v>394</v>
      </c>
      <c r="B53" s="42" t="s">
        <v>140</v>
      </c>
      <c r="C53" s="43" t="s">
        <v>141</v>
      </c>
      <c r="D53" s="42" t="s">
        <v>382</v>
      </c>
      <c r="E53" s="42"/>
      <c r="F53" s="42"/>
      <c r="G53" s="46" t="str">
        <f t="shared" si="10"/>
        <v/>
      </c>
      <c r="H53" s="46" t="str">
        <f t="shared" si="10"/>
        <v/>
      </c>
      <c r="I53" s="46" t="str">
        <f t="shared" si="10"/>
        <v/>
      </c>
      <c r="J53" s="46" t="str">
        <f t="shared" si="10"/>
        <v/>
      </c>
      <c r="K53" s="46" t="str">
        <f t="shared" si="10"/>
        <v/>
      </c>
      <c r="L53" s="46" t="str">
        <f t="shared" si="10"/>
        <v/>
      </c>
      <c r="M53" s="46" t="str">
        <f t="shared" si="10"/>
        <v/>
      </c>
      <c r="N53" s="46" t="str">
        <f t="shared" si="10"/>
        <v/>
      </c>
      <c r="O53" s="46" t="str">
        <f t="shared" si="10"/>
        <v/>
      </c>
      <c r="P53" s="46" t="str">
        <f t="shared" si="10"/>
        <v/>
      </c>
      <c r="Q53" s="46" t="str">
        <f t="shared" si="11"/>
        <v/>
      </c>
      <c r="R53" s="46" t="str">
        <f t="shared" si="11"/>
        <v/>
      </c>
      <c r="S53" s="46" t="str">
        <f t="shared" si="11"/>
        <v/>
      </c>
      <c r="T53" s="46" t="str">
        <f t="shared" si="11"/>
        <v/>
      </c>
      <c r="U53" s="46" t="str">
        <f t="shared" si="11"/>
        <v/>
      </c>
      <c r="V53" s="46" t="str">
        <f t="shared" si="11"/>
        <v/>
      </c>
      <c r="W53" s="46" t="str">
        <f t="shared" si="11"/>
        <v/>
      </c>
      <c r="X53" s="41" t="s">
        <v>393</v>
      </c>
    </row>
    <row r="54" spans="1:24" x14ac:dyDescent="0.55000000000000004">
      <c r="A54" s="42" t="s">
        <v>396</v>
      </c>
      <c r="B54" s="42" t="s">
        <v>144</v>
      </c>
      <c r="C54" s="43" t="s">
        <v>145</v>
      </c>
      <c r="D54" s="42" t="s">
        <v>382</v>
      </c>
      <c r="E54" s="42"/>
      <c r="F54" s="42"/>
      <c r="G54" s="46" t="str">
        <f t="shared" si="10"/>
        <v/>
      </c>
      <c r="H54" s="46" t="str">
        <f t="shared" si="10"/>
        <v/>
      </c>
      <c r="I54" s="46" t="str">
        <f t="shared" si="10"/>
        <v/>
      </c>
      <c r="J54" s="46" t="str">
        <f t="shared" si="10"/>
        <v/>
      </c>
      <c r="K54" s="46" t="str">
        <f t="shared" si="10"/>
        <v/>
      </c>
      <c r="L54" s="46" t="str">
        <f t="shared" si="10"/>
        <v/>
      </c>
      <c r="M54" s="46" t="str">
        <f t="shared" si="10"/>
        <v/>
      </c>
      <c r="N54" s="46" t="str">
        <f t="shared" si="10"/>
        <v/>
      </c>
      <c r="O54" s="46" t="str">
        <f t="shared" si="10"/>
        <v/>
      </c>
      <c r="P54" s="46" t="str">
        <f t="shared" si="10"/>
        <v/>
      </c>
      <c r="Q54" s="46" t="str">
        <f t="shared" si="11"/>
        <v/>
      </c>
      <c r="R54" s="46" t="str">
        <f t="shared" si="11"/>
        <v/>
      </c>
      <c r="S54" s="46" t="str">
        <f t="shared" si="11"/>
        <v/>
      </c>
      <c r="T54" s="46" t="str">
        <f t="shared" si="11"/>
        <v/>
      </c>
      <c r="U54" s="46" t="str">
        <f t="shared" si="11"/>
        <v/>
      </c>
      <c r="V54" s="46" t="str">
        <f t="shared" si="11"/>
        <v/>
      </c>
      <c r="W54" s="46" t="str">
        <f t="shared" si="11"/>
        <v/>
      </c>
      <c r="X54" s="41" t="s">
        <v>398</v>
      </c>
    </row>
    <row r="55" spans="1:24" x14ac:dyDescent="0.55000000000000004">
      <c r="A55" s="42" t="s">
        <v>399</v>
      </c>
      <c r="B55" s="42" t="s">
        <v>148</v>
      </c>
      <c r="C55" s="43" t="s">
        <v>149</v>
      </c>
      <c r="D55" s="42" t="s">
        <v>382</v>
      </c>
      <c r="E55" s="42"/>
      <c r="F55" s="42"/>
      <c r="G55" s="46" t="str">
        <f t="shared" si="10"/>
        <v/>
      </c>
      <c r="H55" s="46" t="str">
        <f t="shared" si="10"/>
        <v/>
      </c>
      <c r="I55" s="46" t="str">
        <f t="shared" si="10"/>
        <v/>
      </c>
      <c r="J55" s="46" t="str">
        <f t="shared" si="10"/>
        <v/>
      </c>
      <c r="K55" s="46" t="str">
        <f t="shared" si="10"/>
        <v/>
      </c>
      <c r="L55" s="46" t="str">
        <f t="shared" si="10"/>
        <v/>
      </c>
      <c r="M55" s="46" t="str">
        <f t="shared" si="10"/>
        <v/>
      </c>
      <c r="N55" s="46" t="str">
        <f t="shared" si="10"/>
        <v/>
      </c>
      <c r="O55" s="46" t="str">
        <f t="shared" si="10"/>
        <v/>
      </c>
      <c r="P55" s="46" t="str">
        <f t="shared" si="10"/>
        <v/>
      </c>
      <c r="Q55" s="46" t="str">
        <f t="shared" si="11"/>
        <v/>
      </c>
      <c r="R55" s="46" t="str">
        <f t="shared" si="11"/>
        <v/>
      </c>
      <c r="S55" s="46" t="str">
        <f t="shared" si="11"/>
        <v/>
      </c>
      <c r="T55" s="46" t="str">
        <f t="shared" si="11"/>
        <v/>
      </c>
      <c r="U55" s="46" t="str">
        <f t="shared" si="11"/>
        <v/>
      </c>
      <c r="V55" s="46" t="str">
        <f t="shared" si="11"/>
        <v/>
      </c>
      <c r="W55" s="46" t="str">
        <f t="shared" si="11"/>
        <v/>
      </c>
      <c r="X55" s="41" t="s">
        <v>401</v>
      </c>
    </row>
    <row r="56" spans="1:24" ht="20.399999999999999" x14ac:dyDescent="0.55000000000000004">
      <c r="A56" s="42" t="s">
        <v>402</v>
      </c>
      <c r="B56" s="42" t="s">
        <v>152</v>
      </c>
      <c r="C56" s="43" t="s">
        <v>403</v>
      </c>
      <c r="D56" s="42" t="s">
        <v>382</v>
      </c>
      <c r="E56" s="42"/>
      <c r="F56" s="42"/>
      <c r="G56" s="46" t="str">
        <f t="shared" si="10"/>
        <v/>
      </c>
      <c r="H56" s="46" t="str">
        <f t="shared" si="10"/>
        <v/>
      </c>
      <c r="I56" s="46" t="str">
        <f t="shared" si="10"/>
        <v/>
      </c>
      <c r="J56" s="46" t="str">
        <f t="shared" si="10"/>
        <v/>
      </c>
      <c r="K56" s="46" t="str">
        <f t="shared" si="10"/>
        <v/>
      </c>
      <c r="L56" s="46" t="str">
        <f t="shared" si="10"/>
        <v/>
      </c>
      <c r="M56" s="46" t="str">
        <f t="shared" si="10"/>
        <v/>
      </c>
      <c r="N56" s="46" t="str">
        <f t="shared" si="10"/>
        <v/>
      </c>
      <c r="O56" s="46" t="str">
        <f t="shared" si="10"/>
        <v/>
      </c>
      <c r="P56" s="46" t="str">
        <f t="shared" si="10"/>
        <v/>
      </c>
      <c r="Q56" s="46" t="str">
        <f t="shared" si="11"/>
        <v/>
      </c>
      <c r="R56" s="46" t="str">
        <f t="shared" si="11"/>
        <v/>
      </c>
      <c r="S56" s="46" t="str">
        <f t="shared" si="11"/>
        <v/>
      </c>
      <c r="T56" s="46" t="str">
        <f t="shared" si="11"/>
        <v/>
      </c>
      <c r="U56" s="46" t="str">
        <f t="shared" si="11"/>
        <v/>
      </c>
      <c r="V56" s="46" t="str">
        <f t="shared" si="11"/>
        <v/>
      </c>
      <c r="W56" s="46" t="str">
        <f t="shared" si="11"/>
        <v/>
      </c>
      <c r="X56" s="41" t="s">
        <v>405</v>
      </c>
    </row>
    <row r="57" spans="1:24" x14ac:dyDescent="0.55000000000000004">
      <c r="A57" s="42" t="s">
        <v>406</v>
      </c>
      <c r="B57" s="42" t="s">
        <v>162</v>
      </c>
      <c r="C57" s="43" t="s">
        <v>163</v>
      </c>
      <c r="D57" s="42" t="s">
        <v>382</v>
      </c>
      <c r="E57" s="42"/>
      <c r="F57" s="42"/>
      <c r="G57" s="46" t="str">
        <f t="shared" si="10"/>
        <v/>
      </c>
      <c r="H57" s="46" t="str">
        <f t="shared" si="10"/>
        <v/>
      </c>
      <c r="I57" s="46" t="str">
        <f t="shared" si="10"/>
        <v/>
      </c>
      <c r="J57" s="46" t="str">
        <f t="shared" si="10"/>
        <v/>
      </c>
      <c r="K57" s="46" t="str">
        <f t="shared" si="10"/>
        <v/>
      </c>
      <c r="L57" s="46" t="str">
        <f t="shared" si="10"/>
        <v/>
      </c>
      <c r="M57" s="46" t="str">
        <f t="shared" si="10"/>
        <v/>
      </c>
      <c r="N57" s="46" t="str">
        <f t="shared" si="10"/>
        <v/>
      </c>
      <c r="O57" s="46" t="str">
        <f t="shared" si="10"/>
        <v/>
      </c>
      <c r="P57" s="46" t="str">
        <f t="shared" si="10"/>
        <v/>
      </c>
      <c r="Q57" s="46" t="str">
        <f t="shared" si="11"/>
        <v/>
      </c>
      <c r="R57" s="46" t="str">
        <f t="shared" si="11"/>
        <v/>
      </c>
      <c r="S57" s="46" t="str">
        <f t="shared" si="11"/>
        <v/>
      </c>
      <c r="T57" s="46" t="str">
        <f t="shared" si="11"/>
        <v/>
      </c>
      <c r="U57" s="46" t="str">
        <f t="shared" si="11"/>
        <v/>
      </c>
      <c r="V57" s="46" t="str">
        <f t="shared" si="11"/>
        <v/>
      </c>
      <c r="W57" s="46" t="str">
        <f t="shared" si="11"/>
        <v/>
      </c>
      <c r="X57" s="41" t="s">
        <v>390</v>
      </c>
    </row>
  </sheetData>
  <conditionalFormatting sqref="G5:W57">
    <cfRule type="expression" dxfId="7" priority="2">
      <formula>G5="◆"</formula>
    </cfRule>
    <cfRule type="expression" dxfId="6" priority="3">
      <formula>AND(G5="█",OR($D5="Atendido",$D5="Entregado",$D5="Cerrado"))</formula>
    </cfRule>
    <cfRule type="expression" dxfId="5" priority="4">
      <formula>AND(G5="█",OR($D5="En curso",$D5="En pruebas"))</formula>
    </cfRule>
    <cfRule type="expression" dxfId="4" priority="5">
      <formula>AND(G5="█",OR($D5="Especificada",$D5="Pendiente",$D5="Diferido",$D5="Bloqueado",$D5="Propuesto"))</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zoomScaleNormal="100" workbookViewId="0">
      <selection sqref="A1:D1"/>
    </sheetView>
  </sheetViews>
  <sheetFormatPr defaultColWidth="8.68359375" defaultRowHeight="14.4" x14ac:dyDescent="0.55000000000000004"/>
  <cols>
    <col min="1" max="2" width="16" customWidth="1"/>
    <col min="3" max="3" width="18" customWidth="1"/>
    <col min="4" max="4" width="20" customWidth="1"/>
  </cols>
  <sheetData>
    <row r="1" spans="1:4" ht="17.25" customHeight="1" x14ac:dyDescent="0.6">
      <c r="A1" s="59" t="s">
        <v>420</v>
      </c>
      <c r="B1" s="59"/>
      <c r="C1" s="59"/>
      <c r="D1" s="59"/>
    </row>
    <row r="3" spans="1:4" ht="15" customHeight="1" x14ac:dyDescent="0.55000000000000004">
      <c r="A3" s="48" t="s">
        <v>5</v>
      </c>
      <c r="B3" s="48" t="s">
        <v>421</v>
      </c>
      <c r="C3" s="48" t="s">
        <v>422</v>
      </c>
      <c r="D3" s="48" t="s">
        <v>11</v>
      </c>
    </row>
    <row r="4" spans="1:4" ht="15" customHeight="1" x14ac:dyDescent="0.55000000000000004">
      <c r="A4" s="49" t="s">
        <v>97</v>
      </c>
      <c r="B4" s="49">
        <f>COUNTIF('Nuevas iniciativas'!$F$2:$F$101,$A4)</f>
        <v>12</v>
      </c>
      <c r="C4" s="50">
        <f>SUMIF('Nuevas iniciativas'!$F$2:$F$101,$A4,'Nuevas iniciativas'!$I$2:$I$101)</f>
        <v>0</v>
      </c>
      <c r="D4" s="51">
        <f>SUMIF('Nuevas iniciativas'!$F$2:$F$101,$A4,'Nuevas iniciativas'!$L$2:$L$101)</f>
        <v>0</v>
      </c>
    </row>
    <row r="5" spans="1:4" ht="15" customHeight="1" x14ac:dyDescent="0.55000000000000004">
      <c r="A5" s="49" t="s">
        <v>423</v>
      </c>
      <c r="B5" s="49">
        <f>COUNTIF('Nuevas iniciativas'!$F$2:$F$101,$A5)</f>
        <v>0</v>
      </c>
      <c r="C5" s="50">
        <f>SUMIF('Nuevas iniciativas'!$F$2:$F$101,$A5,'Nuevas iniciativas'!$I$2:$I$101)</f>
        <v>0</v>
      </c>
      <c r="D5" s="51">
        <f>SUMIF('Nuevas iniciativas'!$F$2:$F$101,$A5,'Nuevas iniciativas'!$L$2:$L$101)</f>
        <v>0</v>
      </c>
    </row>
    <row r="6" spans="1:4" ht="15" customHeight="1" x14ac:dyDescent="0.55000000000000004">
      <c r="A6" s="49" t="s">
        <v>424</v>
      </c>
      <c r="B6" s="49">
        <f>COUNTIF('Nuevas iniciativas'!$F$2:$F$101,$A6)</f>
        <v>0</v>
      </c>
      <c r="C6" s="50">
        <f>SUMIF('Nuevas iniciativas'!$F$2:$F$101,$A6,'Nuevas iniciativas'!$I$2:$I$101)</f>
        <v>0</v>
      </c>
      <c r="D6" s="51">
        <f>SUMIF('Nuevas iniciativas'!$F$2:$F$101,$A6,'Nuevas iniciativas'!$L$2:$L$101)</f>
        <v>0</v>
      </c>
    </row>
    <row r="7" spans="1:4" ht="15" customHeight="1" x14ac:dyDescent="0.55000000000000004">
      <c r="A7" s="49" t="s">
        <v>156</v>
      </c>
      <c r="B7" s="49">
        <f>COUNTIF('Nuevas iniciativas'!$F$2:$F$101,$A7)</f>
        <v>3</v>
      </c>
      <c r="C7" s="50">
        <f>SUMIF('Nuevas iniciativas'!$F$2:$F$101,$A7,'Nuevas iniciativas'!$I$2:$I$101)</f>
        <v>0</v>
      </c>
      <c r="D7" s="51">
        <f>SUMIF('Nuevas iniciativas'!$F$2:$F$101,$A7,'Nuevas iniciativas'!$L$2:$L$101)</f>
        <v>0</v>
      </c>
    </row>
    <row r="8" spans="1:4" ht="15" customHeight="1" x14ac:dyDescent="0.55000000000000004">
      <c r="A8" s="49" t="s">
        <v>22</v>
      </c>
      <c r="B8" s="49">
        <f>COUNTIF('Nuevas iniciativas'!$F$2:$F$101,$A8)</f>
        <v>25</v>
      </c>
      <c r="C8" s="50">
        <f>SUMIF('Nuevas iniciativas'!$F$2:$F$101,$A8,'Nuevas iniciativas'!$I$2:$I$101)</f>
        <v>0</v>
      </c>
      <c r="D8" s="51">
        <f>SUMIF('Nuevas iniciativas'!$F$2:$F$101,$A8,'Nuevas iniciativas'!$L$2:$L$101)</f>
        <v>0</v>
      </c>
    </row>
    <row r="9" spans="1:4" ht="15" customHeight="1" x14ac:dyDescent="0.55000000000000004">
      <c r="A9" s="49" t="s">
        <v>35</v>
      </c>
      <c r="B9" s="49">
        <f>COUNTIF('Nuevas iniciativas'!$F$2:$F$101,$A9)</f>
        <v>0</v>
      </c>
      <c r="C9" s="50">
        <f>SUMIF('Nuevas iniciativas'!$F$2:$F$101,$A9,'Nuevas iniciativas'!$I$2:$I$101)</f>
        <v>0</v>
      </c>
      <c r="D9" s="51">
        <f>SUMIF('Nuevas iniciativas'!$F$2:$F$101,$A9,'Nuevas iniciativas'!$L$2:$L$101)</f>
        <v>0</v>
      </c>
    </row>
    <row r="10" spans="1:4" ht="15" customHeight="1" x14ac:dyDescent="0.55000000000000004">
      <c r="A10" s="49" t="s">
        <v>34</v>
      </c>
      <c r="B10" s="49">
        <f>COUNTIF('Nuevas iniciativas'!$F$2:$F$101,$A10)</f>
        <v>0</v>
      </c>
      <c r="C10" s="50">
        <f>SUMIF('Nuevas iniciativas'!$F$2:$F$101,$A10,'Nuevas iniciativas'!$I$2:$I$101)</f>
        <v>0</v>
      </c>
      <c r="D10" s="51">
        <f>SUMIF('Nuevas iniciativas'!$F$2:$F$101,$A10,'Nuevas iniciativas'!$L$2:$L$101)</f>
        <v>0</v>
      </c>
    </row>
    <row r="11" spans="1:4" ht="15" customHeight="1" x14ac:dyDescent="0.55000000000000004">
      <c r="A11" s="52" t="s">
        <v>425</v>
      </c>
      <c r="B11" s="52">
        <f>SUM(B4:B10)</f>
        <v>40</v>
      </c>
      <c r="C11" s="53">
        <f>SUM(C4:C10)</f>
        <v>0</v>
      </c>
      <c r="D11" s="54">
        <f>SUM(D4:D10)</f>
        <v>0</v>
      </c>
    </row>
    <row r="13" spans="1:4" ht="15" customHeight="1" x14ac:dyDescent="0.55000000000000004">
      <c r="A13" s="55" t="s">
        <v>426</v>
      </c>
      <c r="B13" s="56">
        <f>SUM('Nuevas iniciativas'!$M$2:$M$101)</f>
        <v>0</v>
      </c>
    </row>
    <row r="15" spans="1:4" ht="15" customHeight="1" x14ac:dyDescent="0.55000000000000004">
      <c r="A15" s="57" t="s">
        <v>427</v>
      </c>
    </row>
  </sheetData>
  <mergeCells count="1">
    <mergeCell ref="A1:D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zoomScaleNormal="100" workbookViewId="0"/>
  </sheetViews>
  <sheetFormatPr defaultColWidth="8.68359375" defaultRowHeight="14.4" x14ac:dyDescent="0.55000000000000004"/>
  <cols>
    <col min="1" max="3" width="14" customWidth="1"/>
  </cols>
  <sheetData>
    <row r="1" spans="1:3" ht="15" customHeight="1" x14ac:dyDescent="0.55000000000000004">
      <c r="A1" s="58" t="s">
        <v>5</v>
      </c>
      <c r="B1" s="58" t="s">
        <v>3</v>
      </c>
      <c r="C1" s="58" t="s">
        <v>4</v>
      </c>
    </row>
    <row r="2" spans="1:3" ht="15" customHeight="1" x14ac:dyDescent="0.55000000000000004">
      <c r="A2" t="s">
        <v>97</v>
      </c>
      <c r="B2" t="s">
        <v>20</v>
      </c>
      <c r="C2" t="s">
        <v>21</v>
      </c>
    </row>
    <row r="3" spans="1:3" ht="15" customHeight="1" x14ac:dyDescent="0.55000000000000004">
      <c r="A3" t="s">
        <v>423</v>
      </c>
      <c r="B3" t="s">
        <v>155</v>
      </c>
      <c r="C3" t="s">
        <v>56</v>
      </c>
    </row>
    <row r="4" spans="1:3" ht="15" customHeight="1" x14ac:dyDescent="0.55000000000000004">
      <c r="A4" t="s">
        <v>424</v>
      </c>
      <c r="B4" t="s">
        <v>110</v>
      </c>
      <c r="C4" t="s">
        <v>96</v>
      </c>
    </row>
    <row r="5" spans="1:3" ht="15" customHeight="1" x14ac:dyDescent="0.55000000000000004">
      <c r="A5" t="s">
        <v>156</v>
      </c>
      <c r="B5" t="s">
        <v>274</v>
      </c>
    </row>
    <row r="6" spans="1:3" ht="15" customHeight="1" x14ac:dyDescent="0.55000000000000004">
      <c r="A6" t="s">
        <v>22</v>
      </c>
    </row>
    <row r="7" spans="1:3" ht="15" customHeight="1" x14ac:dyDescent="0.55000000000000004">
      <c r="A7" t="s">
        <v>35</v>
      </c>
    </row>
    <row r="8" spans="1:3" ht="15" customHeight="1" x14ac:dyDescent="0.55000000000000004">
      <c r="A8" t="s">
        <v>34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9"/>
  <sheetViews>
    <sheetView tabSelected="1" topLeftCell="A16" zoomScaleNormal="100" workbookViewId="0">
      <selection activeCell="F15" sqref="F15"/>
    </sheetView>
  </sheetViews>
  <sheetFormatPr defaultColWidth="8.3671875" defaultRowHeight="11.4" x14ac:dyDescent="0.55000000000000004"/>
  <cols>
    <col min="1" max="1" width="8.20703125" style="76" bestFit="1" customWidth="1"/>
    <col min="2" max="2" width="8.1015625" style="76" bestFit="1" customWidth="1"/>
    <col min="3" max="3" width="8.47265625" style="76" bestFit="1" customWidth="1"/>
    <col min="4" max="4" width="27.578125" style="76" bestFit="1" customWidth="1"/>
    <col min="5" max="5" width="10.47265625" style="76" bestFit="1" customWidth="1"/>
    <col min="6" max="6" width="89.68359375" style="76" bestFit="1" customWidth="1"/>
    <col min="7" max="8" width="8.3671875" style="76"/>
    <col min="9" max="9" width="12.15625" style="76" bestFit="1" customWidth="1"/>
    <col min="10" max="10" width="53.1015625" style="76" bestFit="1" customWidth="1"/>
    <col min="11" max="16384" width="8.3671875" style="76"/>
  </cols>
  <sheetData>
    <row r="1" spans="1:10" x14ac:dyDescent="0.55000000000000004">
      <c r="A1" s="75" t="s">
        <v>432</v>
      </c>
      <c r="B1" s="75" t="s">
        <v>0</v>
      </c>
      <c r="C1" s="75" t="s">
        <v>3</v>
      </c>
      <c r="D1" s="75" t="s">
        <v>252</v>
      </c>
      <c r="E1" s="75" t="s">
        <v>5</v>
      </c>
      <c r="F1" s="75" t="s">
        <v>434</v>
      </c>
    </row>
    <row r="2" spans="1:10" ht="22.8" x14ac:dyDescent="0.55000000000000004">
      <c r="A2" s="60" t="s">
        <v>17</v>
      </c>
      <c r="B2" s="60" t="s">
        <v>256</v>
      </c>
      <c r="C2" s="60" t="s">
        <v>20</v>
      </c>
      <c r="D2" s="61" t="s">
        <v>18</v>
      </c>
      <c r="E2" s="67" t="s">
        <v>34</v>
      </c>
      <c r="F2" s="61" t="s">
        <v>258</v>
      </c>
    </row>
    <row r="3" spans="1:10" ht="22.8" x14ac:dyDescent="0.55000000000000004">
      <c r="A3" s="60" t="s">
        <v>27</v>
      </c>
      <c r="B3" s="60" t="s">
        <v>256</v>
      </c>
      <c r="C3" s="60" t="s">
        <v>20</v>
      </c>
      <c r="D3" s="61" t="s">
        <v>28</v>
      </c>
      <c r="E3" s="67" t="s">
        <v>34</v>
      </c>
      <c r="F3" s="61" t="s">
        <v>260</v>
      </c>
    </row>
    <row r="4" spans="1:10" ht="22.8" x14ac:dyDescent="0.55000000000000004">
      <c r="A4" s="60" t="s">
        <v>31</v>
      </c>
      <c r="B4" s="60" t="s">
        <v>256</v>
      </c>
      <c r="C4" s="60" t="s">
        <v>20</v>
      </c>
      <c r="D4" s="61" t="s">
        <v>32</v>
      </c>
      <c r="E4" s="67" t="s">
        <v>34</v>
      </c>
      <c r="F4" s="61" t="s">
        <v>261</v>
      </c>
    </row>
    <row r="5" spans="1:10" ht="22.8" x14ac:dyDescent="0.55000000000000004">
      <c r="A5" s="60" t="s">
        <v>37</v>
      </c>
      <c r="B5" s="60" t="s">
        <v>256</v>
      </c>
      <c r="C5" s="60" t="s">
        <v>20</v>
      </c>
      <c r="D5" s="61" t="s">
        <v>38</v>
      </c>
      <c r="E5" s="67" t="s">
        <v>34</v>
      </c>
      <c r="F5" s="61" t="s">
        <v>262</v>
      </c>
    </row>
    <row r="6" spans="1:10" ht="22.8" x14ac:dyDescent="0.55000000000000004">
      <c r="A6" s="60" t="s">
        <v>41</v>
      </c>
      <c r="B6" s="60" t="s">
        <v>256</v>
      </c>
      <c r="C6" s="60" t="s">
        <v>20</v>
      </c>
      <c r="D6" s="61" t="s">
        <v>263</v>
      </c>
      <c r="E6" s="67" t="s">
        <v>34</v>
      </c>
      <c r="F6" s="61" t="s">
        <v>264</v>
      </c>
    </row>
    <row r="7" spans="1:10" ht="22.8" x14ac:dyDescent="0.55000000000000004">
      <c r="A7" s="60" t="s">
        <v>45</v>
      </c>
      <c r="B7" s="60" t="s">
        <v>256</v>
      </c>
      <c r="C7" s="60" t="s">
        <v>20</v>
      </c>
      <c r="D7" s="61" t="s">
        <v>46</v>
      </c>
      <c r="E7" s="67" t="s">
        <v>34</v>
      </c>
      <c r="F7" s="61" t="s">
        <v>265</v>
      </c>
    </row>
    <row r="8" spans="1:10" ht="22.8" x14ac:dyDescent="0.55000000000000004">
      <c r="A8" s="60" t="s">
        <v>49</v>
      </c>
      <c r="B8" s="60" t="s">
        <v>256</v>
      </c>
      <c r="C8" s="60" t="s">
        <v>20</v>
      </c>
      <c r="D8" s="61" t="s">
        <v>50</v>
      </c>
      <c r="E8" s="67" t="s">
        <v>34</v>
      </c>
      <c r="F8" s="61" t="s">
        <v>266</v>
      </c>
    </row>
    <row r="9" spans="1:10" ht="23.1" thickBot="1" x14ac:dyDescent="0.6">
      <c r="A9" s="60" t="s">
        <v>53</v>
      </c>
      <c r="B9" s="60" t="s">
        <v>256</v>
      </c>
      <c r="C9" s="60" t="s">
        <v>20</v>
      </c>
      <c r="D9" s="61" t="s">
        <v>54</v>
      </c>
      <c r="E9" s="67" t="s">
        <v>34</v>
      </c>
      <c r="F9" s="61" t="s">
        <v>267</v>
      </c>
    </row>
    <row r="10" spans="1:10" ht="22.8" x14ac:dyDescent="0.55000000000000004">
      <c r="A10" s="60" t="s">
        <v>58</v>
      </c>
      <c r="B10" s="60" t="s">
        <v>256</v>
      </c>
      <c r="C10" s="60" t="s">
        <v>20</v>
      </c>
      <c r="D10" s="61" t="s">
        <v>59</v>
      </c>
      <c r="E10" s="67" t="s">
        <v>34</v>
      </c>
      <c r="F10" s="61" t="s">
        <v>268</v>
      </c>
      <c r="I10" s="68" t="s">
        <v>34</v>
      </c>
      <c r="J10" s="72" t="s">
        <v>444</v>
      </c>
    </row>
    <row r="11" spans="1:10" x14ac:dyDescent="0.55000000000000004">
      <c r="A11" s="60" t="s">
        <v>66</v>
      </c>
      <c r="B11" s="60" t="s">
        <v>256</v>
      </c>
      <c r="C11" s="60" t="s">
        <v>20</v>
      </c>
      <c r="D11" s="61" t="s">
        <v>435</v>
      </c>
      <c r="E11" s="67" t="s">
        <v>34</v>
      </c>
      <c r="F11" s="61" t="s">
        <v>272</v>
      </c>
      <c r="I11" s="69" t="s">
        <v>443</v>
      </c>
      <c r="J11" s="73" t="s">
        <v>445</v>
      </c>
    </row>
    <row r="12" spans="1:10" x14ac:dyDescent="0.55000000000000004">
      <c r="A12" s="60" t="s">
        <v>299</v>
      </c>
      <c r="B12" s="60" t="s">
        <v>77</v>
      </c>
      <c r="C12" s="60" t="s">
        <v>20</v>
      </c>
      <c r="D12" s="61" t="s">
        <v>300</v>
      </c>
      <c r="E12" s="62" t="s">
        <v>443</v>
      </c>
      <c r="F12" s="61" t="s">
        <v>301</v>
      </c>
      <c r="I12" s="70" t="s">
        <v>356</v>
      </c>
      <c r="J12" s="73" t="s">
        <v>446</v>
      </c>
    </row>
    <row r="13" spans="1:10" ht="22.8" x14ac:dyDescent="0.55000000000000004">
      <c r="A13" s="60" t="s">
        <v>293</v>
      </c>
      <c r="B13" s="60" t="s">
        <v>81</v>
      </c>
      <c r="C13" s="60" t="s">
        <v>20</v>
      </c>
      <c r="D13" s="61" t="s">
        <v>82</v>
      </c>
      <c r="E13" s="62" t="s">
        <v>443</v>
      </c>
      <c r="F13" s="61" t="s">
        <v>294</v>
      </c>
      <c r="I13" s="70" t="s">
        <v>156</v>
      </c>
      <c r="J13" s="73" t="s">
        <v>447</v>
      </c>
    </row>
    <row r="14" spans="1:10" ht="23.1" thickBot="1" x14ac:dyDescent="0.6">
      <c r="A14" s="60" t="s">
        <v>289</v>
      </c>
      <c r="B14" s="60" t="s">
        <v>85</v>
      </c>
      <c r="C14" s="60" t="s">
        <v>20</v>
      </c>
      <c r="D14" s="61" t="s">
        <v>290</v>
      </c>
      <c r="E14" s="62" t="s">
        <v>443</v>
      </c>
      <c r="F14" s="61" t="s">
        <v>291</v>
      </c>
      <c r="I14" s="71" t="s">
        <v>382</v>
      </c>
      <c r="J14" s="74" t="s">
        <v>448</v>
      </c>
    </row>
    <row r="15" spans="1:10" x14ac:dyDescent="0.55000000000000004">
      <c r="A15" s="60" t="s">
        <v>286</v>
      </c>
      <c r="B15" s="60" t="s">
        <v>107</v>
      </c>
      <c r="C15" s="60" t="s">
        <v>110</v>
      </c>
      <c r="D15" s="61" t="s">
        <v>108</v>
      </c>
      <c r="E15" s="62" t="s">
        <v>443</v>
      </c>
      <c r="F15" s="61" t="s">
        <v>287</v>
      </c>
    </row>
    <row r="16" spans="1:10" ht="22.8" x14ac:dyDescent="0.55000000000000004">
      <c r="A16" s="60" t="s">
        <v>306</v>
      </c>
      <c r="B16" s="60" t="s">
        <v>112</v>
      </c>
      <c r="C16" s="60" t="s">
        <v>20</v>
      </c>
      <c r="D16" s="61" t="s">
        <v>307</v>
      </c>
      <c r="E16" s="62" t="s">
        <v>443</v>
      </c>
      <c r="F16" s="61" t="s">
        <v>308</v>
      </c>
    </row>
    <row r="17" spans="1:11" x14ac:dyDescent="0.55000000000000004">
      <c r="A17" s="60" t="s">
        <v>340</v>
      </c>
      <c r="B17" s="60" t="s">
        <v>116</v>
      </c>
      <c r="C17" s="60" t="s">
        <v>20</v>
      </c>
      <c r="D17" s="61" t="s">
        <v>117</v>
      </c>
      <c r="E17" s="62" t="s">
        <v>443</v>
      </c>
      <c r="F17" s="61" t="s">
        <v>341</v>
      </c>
    </row>
    <row r="18" spans="1:11" ht="22.8" x14ac:dyDescent="0.55000000000000004">
      <c r="A18" s="60" t="s">
        <v>343</v>
      </c>
      <c r="B18" s="60" t="s">
        <v>120</v>
      </c>
      <c r="C18" s="60" t="s">
        <v>20</v>
      </c>
      <c r="D18" s="61" t="s">
        <v>121</v>
      </c>
      <c r="E18" s="62" t="s">
        <v>443</v>
      </c>
      <c r="F18" s="61" t="s">
        <v>344</v>
      </c>
    </row>
    <row r="19" spans="1:11" ht="22.8" x14ac:dyDescent="0.55000000000000004">
      <c r="A19" s="60" t="s">
        <v>346</v>
      </c>
      <c r="B19" s="60" t="s">
        <v>124</v>
      </c>
      <c r="C19" s="60" t="s">
        <v>20</v>
      </c>
      <c r="D19" s="61" t="s">
        <v>125</v>
      </c>
      <c r="E19" s="62" t="s">
        <v>443</v>
      </c>
      <c r="F19" s="61" t="s">
        <v>429</v>
      </c>
      <c r="I19" s="79" t="s">
        <v>449</v>
      </c>
      <c r="J19" t="s">
        <v>451</v>
      </c>
      <c r="K19"/>
    </row>
    <row r="20" spans="1:11" ht="22.8" x14ac:dyDescent="0.55000000000000004">
      <c r="A20" s="60" t="s">
        <v>273</v>
      </c>
      <c r="B20" s="60" t="s">
        <v>128</v>
      </c>
      <c r="C20" s="60" t="s">
        <v>274</v>
      </c>
      <c r="D20" s="61" t="s">
        <v>275</v>
      </c>
      <c r="E20" s="62" t="s">
        <v>443</v>
      </c>
      <c r="F20" s="61" t="s">
        <v>276</v>
      </c>
      <c r="I20" s="80" t="s">
        <v>34</v>
      </c>
      <c r="J20" s="81">
        <v>10</v>
      </c>
      <c r="K20"/>
    </row>
    <row r="21" spans="1:11" ht="14.4" x14ac:dyDescent="0.55000000000000004">
      <c r="A21" s="60" t="s">
        <v>303</v>
      </c>
      <c r="B21" s="60" t="s">
        <v>166</v>
      </c>
      <c r="C21" s="60" t="s">
        <v>433</v>
      </c>
      <c r="D21" s="61" t="s">
        <v>167</v>
      </c>
      <c r="E21" s="62" t="s">
        <v>443</v>
      </c>
      <c r="F21" s="61" t="s">
        <v>304</v>
      </c>
      <c r="I21" s="80" t="s">
        <v>443</v>
      </c>
      <c r="J21" s="81">
        <v>15</v>
      </c>
      <c r="K21"/>
    </row>
    <row r="22" spans="1:11" ht="22.8" x14ac:dyDescent="0.55000000000000004">
      <c r="A22" s="60" t="s">
        <v>310</v>
      </c>
      <c r="B22" s="60" t="s">
        <v>170</v>
      </c>
      <c r="C22" s="60" t="s">
        <v>20</v>
      </c>
      <c r="D22" s="61" t="s">
        <v>311</v>
      </c>
      <c r="E22" s="62" t="s">
        <v>443</v>
      </c>
      <c r="F22" s="61" t="s">
        <v>312</v>
      </c>
      <c r="I22" s="80" t="s">
        <v>382</v>
      </c>
      <c r="J22" s="81">
        <v>10</v>
      </c>
      <c r="K22"/>
    </row>
    <row r="23" spans="1:11" ht="22.8" x14ac:dyDescent="0.55000000000000004">
      <c r="A23" s="60" t="s">
        <v>314</v>
      </c>
      <c r="B23" s="60" t="s">
        <v>174</v>
      </c>
      <c r="C23" s="60" t="s">
        <v>433</v>
      </c>
      <c r="D23" s="61" t="s">
        <v>175</v>
      </c>
      <c r="E23" s="62" t="s">
        <v>443</v>
      </c>
      <c r="F23" s="61" t="s">
        <v>315</v>
      </c>
      <c r="I23" s="80" t="s">
        <v>156</v>
      </c>
      <c r="J23" s="81">
        <v>5</v>
      </c>
      <c r="K23"/>
    </row>
    <row r="24" spans="1:11" ht="14.4" x14ac:dyDescent="0.55000000000000004">
      <c r="A24" s="60" t="s">
        <v>320</v>
      </c>
      <c r="B24" s="60" t="s">
        <v>178</v>
      </c>
      <c r="C24" s="60" t="s">
        <v>433</v>
      </c>
      <c r="D24" s="61" t="s">
        <v>179</v>
      </c>
      <c r="E24" s="62" t="s">
        <v>443</v>
      </c>
      <c r="F24" s="61" t="s">
        <v>321</v>
      </c>
      <c r="I24" s="80" t="s">
        <v>356</v>
      </c>
      <c r="J24" s="81">
        <v>1</v>
      </c>
      <c r="K24"/>
    </row>
    <row r="25" spans="1:11" ht="14.4" x14ac:dyDescent="0.55000000000000004">
      <c r="A25" s="60" t="s">
        <v>330</v>
      </c>
      <c r="B25" s="60" t="s">
        <v>198</v>
      </c>
      <c r="C25" s="60" t="s">
        <v>20</v>
      </c>
      <c r="D25" s="61" t="s">
        <v>199</v>
      </c>
      <c r="E25" s="62" t="s">
        <v>443</v>
      </c>
      <c r="F25" s="61" t="s">
        <v>331</v>
      </c>
      <c r="I25" s="80" t="s">
        <v>450</v>
      </c>
      <c r="J25" s="81">
        <v>41</v>
      </c>
      <c r="K25"/>
    </row>
    <row r="26" spans="1:11" ht="22.8" x14ac:dyDescent="0.55000000000000004">
      <c r="A26" s="60" t="s">
        <v>351</v>
      </c>
      <c r="B26" s="60" t="s">
        <v>214</v>
      </c>
      <c r="C26" s="60" t="s">
        <v>433</v>
      </c>
      <c r="D26" s="61" t="s">
        <v>215</v>
      </c>
      <c r="E26" s="62" t="s">
        <v>443</v>
      </c>
      <c r="F26" s="61" t="s">
        <v>352</v>
      </c>
      <c r="I26"/>
      <c r="J26"/>
      <c r="K26"/>
    </row>
    <row r="27" spans="1:11" ht="14.4" x14ac:dyDescent="0.55000000000000004">
      <c r="A27" s="60" t="s">
        <v>381</v>
      </c>
      <c r="B27" s="60" t="s">
        <v>93</v>
      </c>
      <c r="C27" s="60" t="s">
        <v>20</v>
      </c>
      <c r="D27" s="61" t="s">
        <v>94</v>
      </c>
      <c r="E27" s="64" t="s">
        <v>382</v>
      </c>
      <c r="F27" s="61" t="s">
        <v>383</v>
      </c>
      <c r="I27"/>
      <c r="J27"/>
      <c r="K27"/>
    </row>
    <row r="28" spans="1:11" ht="14.4" x14ac:dyDescent="0.55000000000000004">
      <c r="A28" s="60" t="s">
        <v>385</v>
      </c>
      <c r="B28" s="60" t="s">
        <v>99</v>
      </c>
      <c r="C28" s="60" t="s">
        <v>20</v>
      </c>
      <c r="D28" s="61" t="s">
        <v>100</v>
      </c>
      <c r="E28" s="64" t="s">
        <v>382</v>
      </c>
      <c r="F28" s="61" t="s">
        <v>386</v>
      </c>
      <c r="I28"/>
      <c r="J28"/>
      <c r="K28"/>
    </row>
    <row r="29" spans="1:11" ht="14.4" x14ac:dyDescent="0.55000000000000004">
      <c r="A29" s="60" t="s">
        <v>375</v>
      </c>
      <c r="B29" s="60" t="s">
        <v>103</v>
      </c>
      <c r="C29" s="60" t="s">
        <v>20</v>
      </c>
      <c r="D29" s="61" t="s">
        <v>376</v>
      </c>
      <c r="E29" s="64" t="s">
        <v>382</v>
      </c>
      <c r="F29" s="61" t="s">
        <v>379</v>
      </c>
      <c r="I29"/>
      <c r="J29"/>
      <c r="K29"/>
    </row>
    <row r="30" spans="1:11" ht="14.4" x14ac:dyDescent="0.55000000000000004">
      <c r="A30" s="60" t="s">
        <v>388</v>
      </c>
      <c r="B30" s="60" t="s">
        <v>132</v>
      </c>
      <c r="C30" s="60" t="s">
        <v>20</v>
      </c>
      <c r="D30" s="61" t="s">
        <v>133</v>
      </c>
      <c r="E30" s="64" t="s">
        <v>382</v>
      </c>
      <c r="F30" s="61" t="s">
        <v>389</v>
      </c>
      <c r="I30"/>
      <c r="J30"/>
      <c r="K30"/>
    </row>
    <row r="31" spans="1:11" ht="14.4" x14ac:dyDescent="0.55000000000000004">
      <c r="A31" s="60" t="s">
        <v>391</v>
      </c>
      <c r="B31" s="60" t="s">
        <v>136</v>
      </c>
      <c r="C31" s="60" t="s">
        <v>20</v>
      </c>
      <c r="D31" s="61" t="s">
        <v>137</v>
      </c>
      <c r="E31" s="64" t="s">
        <v>382</v>
      </c>
      <c r="F31" s="61" t="s">
        <v>392</v>
      </c>
      <c r="I31"/>
      <c r="J31"/>
      <c r="K31"/>
    </row>
    <row r="32" spans="1:11" ht="14.4" x14ac:dyDescent="0.55000000000000004">
      <c r="A32" s="60" t="s">
        <v>394</v>
      </c>
      <c r="B32" s="60" t="s">
        <v>140</v>
      </c>
      <c r="C32" s="60" t="s">
        <v>20</v>
      </c>
      <c r="D32" s="61" t="s">
        <v>141</v>
      </c>
      <c r="E32" s="64" t="s">
        <v>382</v>
      </c>
      <c r="F32" s="61" t="s">
        <v>395</v>
      </c>
      <c r="I32"/>
      <c r="J32"/>
      <c r="K32"/>
    </row>
    <row r="33" spans="1:11" ht="14.4" x14ac:dyDescent="0.55000000000000004">
      <c r="A33" s="60" t="s">
        <v>399</v>
      </c>
      <c r="B33" s="60" t="s">
        <v>148</v>
      </c>
      <c r="C33" s="60" t="s">
        <v>20</v>
      </c>
      <c r="D33" s="61" t="s">
        <v>149</v>
      </c>
      <c r="E33" s="64" t="s">
        <v>382</v>
      </c>
      <c r="F33" s="61" t="s">
        <v>400</v>
      </c>
      <c r="I33"/>
      <c r="J33"/>
      <c r="K33"/>
    </row>
    <row r="34" spans="1:11" ht="14.4" x14ac:dyDescent="0.55000000000000004">
      <c r="A34" s="60" t="s">
        <v>406</v>
      </c>
      <c r="B34" s="60" t="s">
        <v>162</v>
      </c>
      <c r="C34" s="60" t="s">
        <v>20</v>
      </c>
      <c r="D34" s="61" t="s">
        <v>163</v>
      </c>
      <c r="E34" s="64" t="s">
        <v>382</v>
      </c>
      <c r="F34" s="61" t="s">
        <v>407</v>
      </c>
      <c r="I34"/>
      <c r="J34"/>
      <c r="K34"/>
    </row>
    <row r="35" spans="1:11" ht="14.4" x14ac:dyDescent="0.55000000000000004">
      <c r="A35" s="60" t="s">
        <v>436</v>
      </c>
      <c r="B35" s="82"/>
      <c r="C35" s="60" t="s">
        <v>20</v>
      </c>
      <c r="D35" s="82" t="s">
        <v>437</v>
      </c>
      <c r="E35" s="64" t="s">
        <v>382</v>
      </c>
      <c r="F35" s="82" t="s">
        <v>438</v>
      </c>
      <c r="I35"/>
      <c r="J35"/>
      <c r="K35"/>
    </row>
    <row r="36" spans="1:11" ht="14.4" x14ac:dyDescent="0.55000000000000004">
      <c r="A36" s="60" t="s">
        <v>440</v>
      </c>
      <c r="B36" s="82"/>
      <c r="C36" s="60" t="s">
        <v>20</v>
      </c>
      <c r="D36" s="82" t="s">
        <v>441</v>
      </c>
      <c r="E36" s="64" t="s">
        <v>382</v>
      </c>
      <c r="F36" s="82" t="s">
        <v>442</v>
      </c>
      <c r="I36"/>
      <c r="J36"/>
      <c r="K36"/>
    </row>
    <row r="37" spans="1:11" ht="22.8" x14ac:dyDescent="0.55000000000000004">
      <c r="A37" s="60" t="s">
        <v>296</v>
      </c>
      <c r="B37" s="60" t="s">
        <v>89</v>
      </c>
      <c r="C37" s="60" t="s">
        <v>20</v>
      </c>
      <c r="D37" s="61" t="s">
        <v>90</v>
      </c>
      <c r="E37" s="63" t="s">
        <v>156</v>
      </c>
      <c r="F37" s="61" t="s">
        <v>439</v>
      </c>
    </row>
    <row r="38" spans="1:11" ht="34.200000000000003" x14ac:dyDescent="0.55000000000000004">
      <c r="A38" s="60" t="s">
        <v>359</v>
      </c>
      <c r="B38" s="60" t="s">
        <v>240</v>
      </c>
      <c r="C38" s="60" t="s">
        <v>433</v>
      </c>
      <c r="D38" s="61" t="s">
        <v>360</v>
      </c>
      <c r="E38" s="63" t="s">
        <v>156</v>
      </c>
      <c r="F38" s="61" t="s">
        <v>431</v>
      </c>
    </row>
    <row r="39" spans="1:11" ht="22.8" x14ac:dyDescent="0.55000000000000004">
      <c r="A39" s="60" t="s">
        <v>226</v>
      </c>
      <c r="B39" s="60" t="s">
        <v>363</v>
      </c>
      <c r="C39" s="60" t="s">
        <v>20</v>
      </c>
      <c r="D39" s="61" t="s">
        <v>364</v>
      </c>
      <c r="E39" s="63" t="s">
        <v>156</v>
      </c>
      <c r="F39" s="61" t="s">
        <v>365</v>
      </c>
    </row>
    <row r="40" spans="1:11" ht="22.8" x14ac:dyDescent="0.55000000000000004">
      <c r="A40" s="60" t="s">
        <v>232</v>
      </c>
      <c r="B40" s="60" t="s">
        <v>367</v>
      </c>
      <c r="C40" s="60" t="s">
        <v>433</v>
      </c>
      <c r="D40" s="61" t="s">
        <v>233</v>
      </c>
      <c r="E40" s="63" t="s">
        <v>156</v>
      </c>
      <c r="F40" s="61" t="s">
        <v>368</v>
      </c>
    </row>
    <row r="41" spans="1:11" x14ac:dyDescent="0.55000000000000004">
      <c r="A41" s="60" t="s">
        <v>236</v>
      </c>
      <c r="B41" s="65" t="s">
        <v>370</v>
      </c>
      <c r="C41" s="60" t="s">
        <v>20</v>
      </c>
      <c r="D41" s="66" t="s">
        <v>371</v>
      </c>
      <c r="E41" s="63" t="s">
        <v>156</v>
      </c>
      <c r="F41" s="66" t="s">
        <v>373</v>
      </c>
    </row>
    <row r="42" spans="1:11" ht="22.8" x14ac:dyDescent="0.55000000000000004">
      <c r="A42" s="60" t="s">
        <v>354</v>
      </c>
      <c r="B42" s="65" t="s">
        <v>218</v>
      </c>
      <c r="C42" s="60" t="s">
        <v>20</v>
      </c>
      <c r="D42" s="66" t="s">
        <v>355</v>
      </c>
      <c r="E42" s="63" t="s">
        <v>356</v>
      </c>
      <c r="F42" s="66" t="s">
        <v>430</v>
      </c>
    </row>
    <row r="44" spans="1:11" x14ac:dyDescent="0.55000000000000004">
      <c r="A44" s="77"/>
    </row>
    <row r="45" spans="1:11" x14ac:dyDescent="0.55000000000000004">
      <c r="A45" s="78"/>
    </row>
    <row r="46" spans="1:11" x14ac:dyDescent="0.55000000000000004">
      <c r="A46" s="78"/>
    </row>
    <row r="48" spans="1:11" x14ac:dyDescent="0.55000000000000004">
      <c r="A48" s="77"/>
    </row>
    <row r="49" spans="1:1" x14ac:dyDescent="0.55000000000000004">
      <c r="A49" s="78"/>
    </row>
    <row r="50" spans="1:1" x14ac:dyDescent="0.55000000000000004">
      <c r="A50" s="78"/>
    </row>
    <row r="52" spans="1:1" x14ac:dyDescent="0.55000000000000004">
      <c r="A52" s="77"/>
    </row>
    <row r="53" spans="1:1" x14ac:dyDescent="0.55000000000000004">
      <c r="A53" s="78"/>
    </row>
    <row r="54" spans="1:1" x14ac:dyDescent="0.55000000000000004">
      <c r="A54" s="78"/>
    </row>
    <row r="55" spans="1:1" x14ac:dyDescent="0.55000000000000004">
      <c r="A55" s="78"/>
    </row>
    <row r="56" spans="1:1" x14ac:dyDescent="0.55000000000000004">
      <c r="A56" s="78"/>
    </row>
    <row r="58" spans="1:1" x14ac:dyDescent="0.55000000000000004">
      <c r="A58" s="77"/>
    </row>
    <row r="59" spans="1:1" x14ac:dyDescent="0.55000000000000004">
      <c r="A59" s="78"/>
    </row>
    <row r="60" spans="1:1" x14ac:dyDescent="0.55000000000000004">
      <c r="A60" s="78"/>
    </row>
    <row r="61" spans="1:1" x14ac:dyDescent="0.55000000000000004">
      <c r="A61" s="78"/>
    </row>
    <row r="62" spans="1:1" x14ac:dyDescent="0.55000000000000004">
      <c r="A62" s="78"/>
    </row>
    <row r="63" spans="1:1" x14ac:dyDescent="0.55000000000000004">
      <c r="A63" s="78"/>
    </row>
    <row r="64" spans="1:1" x14ac:dyDescent="0.55000000000000004">
      <c r="A64" s="78"/>
    </row>
    <row r="65" spans="1:1" x14ac:dyDescent="0.55000000000000004">
      <c r="A65" s="78"/>
    </row>
    <row r="66" spans="1:1" x14ac:dyDescent="0.55000000000000004">
      <c r="A66" s="78"/>
    </row>
    <row r="67" spans="1:1" x14ac:dyDescent="0.55000000000000004">
      <c r="A67" s="78"/>
    </row>
    <row r="68" spans="1:1" x14ac:dyDescent="0.55000000000000004">
      <c r="A68" s="78"/>
    </row>
    <row r="69" spans="1:1" x14ac:dyDescent="0.55000000000000004">
      <c r="A69" s="78"/>
    </row>
  </sheetData>
  <autoFilter ref="A1:F40" xr:uid="{00000000-0001-0000-0600-000000000000}">
    <sortState xmlns:xlrd2="http://schemas.microsoft.com/office/spreadsheetml/2017/richdata2" ref="A2:F42">
      <sortCondition ref="E1:E40"/>
    </sortState>
  </autoFilter>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Alcance inicial</vt:lpstr>
      <vt:lpstr>Nuevas iniciativas</vt:lpstr>
      <vt:lpstr>Estado 20260804</vt:lpstr>
      <vt:lpstr>Estado ejecutivo</vt:lpstr>
      <vt:lpstr>Gantt</vt:lpstr>
      <vt:lpstr>Resumen</vt:lpstr>
      <vt:lpstr>Listas</vt:lpstr>
      <vt:lpstr>Estado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Jason  Perez Carvajal</cp:lastModifiedBy>
  <cp:revision>0</cp:revision>
  <dcterms:created xsi:type="dcterms:W3CDTF">2026-07-31T00:40:08Z</dcterms:created>
  <dcterms:modified xsi:type="dcterms:W3CDTF">2026-08-04T19:08:24Z</dcterms:modified>
  <dc:language>en-US</dc:language>
</cp:coreProperties>
</file>