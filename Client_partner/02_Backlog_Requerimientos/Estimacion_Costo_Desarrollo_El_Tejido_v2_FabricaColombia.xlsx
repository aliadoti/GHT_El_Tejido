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enchmark mercado" sheetId="2" state="visible" r:id="rId4"/>
    <sheet name="Propuesta facturación" sheetId="3" state="visible" r:id="rId5"/>
    <sheet name="MVP base" sheetId="4" state="visible" r:id="rId6"/>
    <sheet name="Resto ejecutado" sheetId="5" state="visible" r:id="rId7"/>
    <sheet name="Resto diferido" sheetId="6" state="visible" r:id="rId8"/>
    <sheet name="Base de cálcul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<sst xmlns="http://schemas.openxmlformats.org/spreadsheetml/2006/main" count="734" uniqueCount="640">
  <si>
    <t xml:space="preserve">Estimación del costo de desarrollo — El Tejido (GHT)</t>
  </si>
  <si>
    <t xml:space="preserve">v2 · Comparador: fábrica de software colombiana que TAMBIÉN usa IA · Corte 2026-08-10 · Evidencia: repositorio git + hoja Estado</t>
  </si>
  <si>
    <t xml:space="preserve">Parámetros del modelo</t>
  </si>
  <si>
    <t xml:space="preserve">Celdas amarillas = editables. Todo lo demás se recalcula.</t>
  </si>
  <si>
    <t xml:space="preserve">Tarifa fábrica de software Colombia (USD/h)</t>
  </si>
  <si>
    <t xml:space="preserve">Bill rate a cliente, equipo blended (arquitecto + devs + QA + PM) para .NET 8 + Angular + LLM. Rango de mercado 2026: 35-55.</t>
  </si>
  <si>
    <t xml:space="preserve">Ajuste de horas por uso de IA en la fábrica comparable</t>
  </si>
  <si>
    <t xml:space="preserve">McKinsey: -46% en tareas rutinarias de código. A nivel de entrega organizacional el efecto real es mucho menor. Se aplica -30% conservador.</t>
  </si>
  <si>
    <t xml:space="preserve">Tarifa contractual GTA (USD/h)</t>
  </si>
  <si>
    <t xml:space="preserve">USD 19.500 / 160 h mes — Propuesta Económica El Tejido §5.3</t>
  </si>
  <si>
    <t xml:space="preserve">Capacidad mensual contratada (h)</t>
  </si>
  <si>
    <t xml:space="preserve">Propuesta Económica El Tejido §5.3</t>
  </si>
  <si>
    <t xml:space="preserve">Horas reales ejecutadas por GTA (MVP + post-MVP)</t>
  </si>
  <si>
    <t xml:space="preserve">100 h sprint MVP + 260 h post-MVP. Inferidas de la cadencia de commits (34 días activos, ~1,2 FTE).</t>
  </si>
  <si>
    <t xml:space="preserve">Métricas derivadas</t>
  </si>
  <si>
    <t xml:space="preserve">Horas de fábrica colombiana con IA — total entregado</t>
  </si>
  <si>
    <t xml:space="preserve">Factor de productividad de GTA vs. fábrica con IA</t>
  </si>
  <si>
    <t xml:space="preserve">Costo por hora-equivalente de producción de GTA</t>
  </si>
  <si>
    <t xml:space="preserve">Esto es lo que hay que defender: por unidad de producto entregado, GTA sale más barato que la fábrica colombiana.</t>
  </si>
  <si>
    <t xml:space="preserve">Lente 1 — Costo de reposición con una fábrica de software colombiana</t>
  </si>
  <si>
    <t xml:space="preserve">¿Cuánto cobraría hoy una fábrica en Colombia por construir lo mismo?</t>
  </si>
  <si>
    <t xml:space="preserve">Bloque</t>
  </si>
  <si>
    <t xml:space="preserve">Horas fábrica SIN IA</t>
  </si>
  <si>
    <t xml:space="preserve">Horas fábrica CON IA</t>
  </si>
  <si>
    <t xml:space="preserve">Valor a tarifa Colombia (USD)</t>
  </si>
  <si>
    <t xml:space="preserve">% del total</t>
  </si>
  <si>
    <t xml:space="preserve">MVP base (REQ-001 … REQ-011)</t>
  </si>
  <si>
    <t xml:space="preserve">Resto — ejecutado (33 iniciativas + transversal)</t>
  </si>
  <si>
    <t xml:space="preserve">Resto — backlog diferido (11 iniciativas)</t>
  </si>
  <si>
    <t xml:space="preserve">TOTAL ENTREGADO A LA FECHA</t>
  </si>
  <si>
    <t xml:space="preserve">TOTAL ENTREGADO + BACKLOG</t>
  </si>
  <si>
    <t xml:space="preserve">Sensibilidad a la tarifa de la fábrica colombiana (total entregado)</t>
  </si>
  <si>
    <t xml:space="preserve">Escenario de tarifa</t>
  </si>
  <si>
    <t xml:space="preserve">USD/h</t>
  </si>
  <si>
    <t xml:space="preserve">Total entregado (USD)</t>
  </si>
  <si>
    <t xml:space="preserve">Lectura</t>
  </si>
  <si>
    <t xml:space="preserve">Fábrica pequeña / equipo junior-mid</t>
  </si>
  <si>
    <t xml:space="preserve">Piso del mercado colombiano. Poco creíble para este stack: hay LLM, seguridad y arquitectura.</t>
  </si>
  <si>
    <t xml:space="preserve">Fábrica media con perfiles senior (base del modelo)</t>
  </si>
  <si>
    <t xml:space="preserve">Escenario central. Consistente con bill rate senior 40-50 USD/h más carga y margen de agencia.</t>
  </si>
  <si>
    <t xml:space="preserve">Fábrica con especialistas IA/LLM</t>
  </si>
  <si>
    <t xml:space="preserve">Los perfiles Python/MLOps/LLM cobran ~37% sobre la mediana senior. Es el comparador más justo para el orquestador conversacional.</t>
  </si>
  <si>
    <t xml:space="preserve">Lente 2 — Valor facturable bajo el contrato vigente</t>
  </si>
  <si>
    <t xml:space="preserve">Periodo</t>
  </si>
  <si>
    <t xml:space="preserve">Horas reales GTA</t>
  </si>
  <si>
    <t xml:space="preserve">Meses-capacidad</t>
  </si>
  <si>
    <t xml:space="preserve">Valor (USD)</t>
  </si>
  <si>
    <t xml:space="preserve">Estado</t>
  </si>
  <si>
    <t xml:space="preserve">MVP base — sprint 13 al 22 jun 2026</t>
  </si>
  <si>
    <t xml:space="preserve">Facturado (precio cerrado USD 9.750)</t>
  </si>
  <si>
    <t xml:space="preserve">Post-MVP — 14 jul al 10 ago 2026</t>
  </si>
  <si>
    <t xml:space="preserve">NO FACTURADO</t>
  </si>
  <si>
    <t xml:space="preserve">TOTAL</t>
  </si>
  <si>
    <t xml:space="preserve">Facturado a la fecha</t>
  </si>
  <si>
    <t xml:space="preserve">BRECHA PENDIENTE DE FACTURAR</t>
  </si>
  <si>
    <t xml:space="preserve">Lente 3 — Lectura comercial</t>
  </si>
  <si>
    <t xml:space="preserve">1. Con el comparador correcto —fábrica colombiana que también usa IA— lo entregado vale ~USD 72.000, no USD 274.000. La cifra anterior sobreestimaba porque suponía una fábrica sin IA y a tarifa nearshore de USD 120/h.</t>
  </si>
  <si>
    <t xml:space="preserve">2. GHT ha pagado USD 9.750 por un activo cuyo costo de reposición realista es ~USD 72.000: ha pagado el 14%.</t>
  </si>
  <si>
    <t xml:space="preserve">3. La tarifa contractual de USD 121,88/h es 2,7x la de una fábrica colombiana. Es el punto por donde GHT va a atacar si compara tarifas.</t>
  </si>
  <si>
    <t xml:space="preserve">4. La defensa no es la tarifa, es el rendimiento: GTA produce 4,4x por hora, luego cada USD 121,88 compra lo que la fábrica entrega en 4,4 h (USD 200). El costo por unidad de producto es ~USD 27/h contra USD 45/h de la fábrica: 39% más barato.</t>
  </si>
  <si>
    <t xml:space="preserve">5. Nunca negociar en USD/h. Siempre en precio cerrado por alcance entregado, o en ciclos de capacidad.</t>
  </si>
  <si>
    <t xml:space="preserve">6. El backlog diferido vale ~USD 18.000 a precios de fábrica colombiana. Es un número que GHT puede aprobar sin drama y sirve para dejar abierta la extensión.</t>
  </si>
  <si>
    <t xml:space="preserve">¿Cuánto cuesta en el mercado un sistema como El Tejido?</t>
  </si>
  <si>
    <t xml:space="preserve">Comparables públicos, agosto 2026. Todas las cifras provienen de listas de precios o guías de mercado citadas al final de la hoja.</t>
  </si>
  <si>
    <t xml:space="preserve">0. Qué es El Tejido en categorías de producto de mercado</t>
  </si>
  <si>
    <t xml:space="preserve">El Tejido no encaja en una sola categoría: combina tres productos que en el mercado se compran por separado.</t>
  </si>
  <si>
    <t xml:space="preserve">Capacidad de El Tejido</t>
  </si>
  <si>
    <t xml:space="preserve">Categoría de mercado equivalente</t>
  </si>
  <si>
    <t xml:space="preserve">¿Existe SaaS que lo haga?</t>
  </si>
  <si>
    <t xml:space="preserve">Coach conversacional por WhatsApp que captura y madura ideas en varios turnos</t>
  </si>
  <si>
    <t xml:space="preserve">Conversational AI multi-agente con LLM</t>
  </si>
  <si>
    <t xml:space="preserve">Sí, pero genérico: no coachea contra una rúbrica</t>
  </si>
  <si>
    <t xml:space="preserve">Campañas, preguntas, participantes matriculados y consulta de resultados</t>
  </si>
  <si>
    <t xml:space="preserve">Idea / Innovation Management Platform</t>
  </si>
  <si>
    <t xml:space="preserve">Sí</t>
  </si>
  <si>
    <t xml:space="preserve">Evaluación de cada idea con la rúbrica propia de GHT, versionada y auditable</t>
  </si>
  <si>
    <t xml:space="preserve">No tiene equivalente comercial directo</t>
  </si>
  <si>
    <t xml:space="preserve">No — es desarrollo a la medida</t>
  </si>
  <si>
    <t xml:space="preserve">Artefacto Markdown atribuido, calificado y regenerable por idea</t>
  </si>
  <si>
    <t xml:space="preserve">Knowledge Management / memoria institucional</t>
  </si>
  <si>
    <t xml:space="preserve">Parcialmente</t>
  </si>
  <si>
    <t xml:space="preserve">Banco de calibración, guardrails de costo LLM, observabilidad, multi-número</t>
  </si>
  <si>
    <t xml:space="preserve">Plataforma / infraestructura propia</t>
  </si>
  <si>
    <t xml:space="preserve">No se vende suelto</t>
  </si>
  <si>
    <t xml:space="preserve">A. Opción CONSTRUIR — referencias de desarrollo a la medida (2026)</t>
  </si>
  <si>
    <t xml:space="preserve">Referencia de mercado</t>
  </si>
  <si>
    <t xml:space="preserve">Rango de costo (USD)</t>
  </si>
  <si>
    <t xml:space="preserve">Encaje con El Tejido</t>
  </si>
  <si>
    <t xml:space="preserve">Fuente</t>
  </si>
  <si>
    <t xml:space="preserve">MVP SaaS funcional (3-4 meses)</t>
  </si>
  <si>
    <t xml:space="preserve">25.000 – 70.000</t>
  </si>
  <si>
    <t xml:space="preserve">Por debajo: El Tejido superó el alcance de un MVP en junio</t>
  </si>
  <si>
    <t xml:space="preserve">SaaS Development Cost 2026</t>
  </si>
  <si>
    <t xml:space="preserve">Producto SaaS de escala media con integraciones</t>
  </si>
  <si>
    <t xml:space="preserve">60.000 – 150.000</t>
  </si>
  <si>
    <t xml:space="preserve">ENCAJE PRINCIPAL</t>
  </si>
  <si>
    <t xml:space="preserve">Plataforma SaaS enterprise</t>
  </si>
  <si>
    <t xml:space="preserve">80.000 – 500.000+</t>
  </si>
  <si>
    <t xml:space="preserve">Por encima: El Tejido no es multi-tenant comercial</t>
  </si>
  <si>
    <t xml:space="preserve">Chatbot con NLU / LLM (tier 2)</t>
  </si>
  <si>
    <t xml:space="preserve">15.000 – 40.000</t>
  </si>
  <si>
    <t xml:space="preserve">Por debajo: sólo cubriría el canal conversacional</t>
  </si>
  <si>
    <t xml:space="preserve">AI Chatbot Development Cost 2026</t>
  </si>
  <si>
    <t xml:space="preserve">Conversational AI multi-agente (tier 3)</t>
  </si>
  <si>
    <t xml:space="preserve">50.000 – 150.000</t>
  </si>
  <si>
    <t xml:space="preserve">ENCAJE del orquestador conversacional</t>
  </si>
  <si>
    <t xml:space="preserve">Plataforma conversacional enterprise omnicanal (tier 4)</t>
  </si>
  <si>
    <t xml:space="preserve">100.000 – 300.000</t>
  </si>
  <si>
    <t xml:space="preserve">Por encima: El Tejido es monocanal</t>
  </si>
  <si>
    <t xml:space="preserve">Integración de API de modelo de lenguaje</t>
  </si>
  <si>
    <t xml:space="preserve">5.000 – 12.000</t>
  </si>
  <si>
    <t xml:space="preserve">Incluido en El Tejido</t>
  </si>
  <si>
    <t xml:space="preserve">Añadir capacidades de IA a un producto</t>
  </si>
  <si>
    <t xml:space="preserve">+15% a +40% sobre el costo base</t>
  </si>
  <si>
    <t xml:space="preserve">Aplica: El Tejido es IA de punta a punta</t>
  </si>
  <si>
    <t xml:space="preserve">COLOMBIA — plataforma o app en producción</t>
  </si>
  <si>
    <t xml:space="preserve">40.000 – 90.000</t>
  </si>
  <si>
    <t xml:space="preserve">Encaje bajo</t>
  </si>
  <si>
    <t xml:space="preserve">DIPA Solutions, referencias Colombia 2026</t>
  </si>
  <si>
    <t xml:space="preserve">COLOMBIA — producto con integraciones (CRM/ERP/pagos)</t>
  </si>
  <si>
    <t xml:space="preserve">80.000 – 180.000</t>
  </si>
  <si>
    <t xml:space="preserve">ENCAJE PRINCIPAL en el mercado local</t>
  </si>
  <si>
    <t xml:space="preserve">Conclusión de la opción construir</t>
  </si>
  <si>
    <t xml:space="preserve">USD 80.000 – 180.000</t>
  </si>
  <si>
    <t xml:space="preserve">Rango que cotizaría hoy una fábrica colombiana por El Tejido completo.</t>
  </si>
  <si>
    <t xml:space="preserve">B. Opción COMPRAR — licencias SaaS con precio público (120 contribuyentes)</t>
  </si>
  <si>
    <t xml:space="preserve">Para aproximarse a El Tejido, GHT necesitaría licenciar 2 o 3 productos simultáneamente. Ninguno evalúa contra su rúbrica.</t>
  </si>
  <si>
    <t xml:space="preserve">Categoría</t>
  </si>
  <si>
    <t xml:space="preserve">Producto</t>
  </si>
  <si>
    <t xml:space="preserve">Precio de lista</t>
  </si>
  <si>
    <t xml:space="preserve">Costo anual estimado a escala GHT</t>
  </si>
  <si>
    <t xml:space="preserve">Qué cubre / qué no</t>
  </si>
  <si>
    <t xml:space="preserve">Gestión de ideas</t>
  </si>
  <si>
    <t xml:space="preserve">Brightidea</t>
  </si>
  <si>
    <t xml:space="preserve">Desde USD 99 por usuario/mes</t>
  </si>
  <si>
    <t xml:space="preserve">Campañas y captura de ideas. No conversa por WhatsApp ni evalúa con rúbrica propia.</t>
  </si>
  <si>
    <t xml:space="preserve">Qmarkets</t>
  </si>
  <si>
    <t xml:space="preserve">Cotización a medida</t>
  </si>
  <si>
    <t xml:space="preserve">USD 18.000-45.000/año para 50 usuarios. Sin canal conversacional.</t>
  </si>
  <si>
    <t xml:space="preserve">Ideanote</t>
  </si>
  <si>
    <t xml:space="preserve">Gratis hasta 10 usuarios, luego USD 6/usuario/mes</t>
  </si>
  <si>
    <t xml:space="preserve">Opción económica. Sin IA de coaching ni evaluación por rúbrica.</t>
  </si>
  <si>
    <t xml:space="preserve">Viima / HYPE Boards</t>
  </si>
  <si>
    <t xml:space="preserve">Gratis hasta USD 1.999/mes</t>
  </si>
  <si>
    <t xml:space="preserve">Escalable, pero mismo vacío conversacional.</t>
  </si>
  <si>
    <t xml:space="preserve">Innovación enterprise con IA</t>
  </si>
  <si>
    <t xml:space="preserve">HYPE · ITONICS · Brightidea · Qmarkets</t>
  </si>
  <si>
    <t xml:space="preserve">Presupuestos sobre USD 50.000/año</t>
  </si>
  <si>
    <t xml:space="preserve">Rango publicado USD 20.000-200.000+/año con IA, consultoría e integraciones.</t>
  </si>
  <si>
    <t xml:space="preserve">Gestión del conocimiento</t>
  </si>
  <si>
    <t xml:space="preserve">Guru</t>
  </si>
  <si>
    <t xml:space="preserve">USD 25 por asiento/mes (anual)</t>
  </si>
  <si>
    <t xml:space="preserve">Base de conocimiento con IA. No captura conversacional ni califica aportes.</t>
  </si>
  <si>
    <t xml:space="preserve">Bloomfire</t>
  </si>
  <si>
    <t xml:space="preserve">Desde ~USD 25 por usuario/mes</t>
  </si>
  <si>
    <t xml:space="preserve">USD 12.000-48.000/año típico; mediana enterprise USD 158.000/año.</t>
  </si>
  <si>
    <t xml:space="preserve">Experiencia del empleado</t>
  </si>
  <si>
    <t xml:space="preserve">Qualtrics EmployeeXM</t>
  </si>
  <si>
    <t xml:space="preserve">Desde USD 1.500/mes hasta 100 empleados</t>
  </si>
  <si>
    <t xml:space="preserve">CoreXM se cotiza USD 25.000-50.000/año. Encuestas, no coaching de ideas.</t>
  </si>
  <si>
    <t xml:space="preserve">Culture Amp</t>
  </si>
  <si>
    <t xml:space="preserve">USD 15-25 por empleado/año</t>
  </si>
  <si>
    <t xml:space="preserve">Cotizaciones desde USD 4.500/año. Alcance mucho más estrecho.</t>
  </si>
  <si>
    <t xml:space="preserve">Canal conversacional</t>
  </si>
  <si>
    <t xml:space="preserve">Plataforma WhatsApp enterprise LATAM</t>
  </si>
  <si>
    <t xml:space="preserve">USD 500-3.000+/mes</t>
  </si>
  <si>
    <t xml:space="preserve">Twilio, Zendesk, Salesforce y premium LATAM. Es el canal, no la inteligencia de negocio.</t>
  </si>
  <si>
    <t xml:space="preserve">Botmaker</t>
  </si>
  <si>
    <t xml:space="preserve">USD 99 único + 20% sobre el costo WhatsApp</t>
  </si>
  <si>
    <t xml:space="preserve">Económico. Requiere construir encima toda la lógica de El Tejido.</t>
  </si>
  <si>
    <t xml:space="preserve">Stack mínimo para aproximar El Tejido</t>
  </si>
  <si>
    <t xml:space="preserve">Innovación enterprise + gestión del conocimiento + canal WhatsApp con IA</t>
  </si>
  <si>
    <t xml:space="preserve">Y aun así: sin rúbrica de GHT, sin coaching multi-turno, sin artefacto Markdown atribuido, sin propiedad del sistema.</t>
  </si>
  <si>
    <t xml:space="preserve">Este costo es RECURRENTE, todos los años, y al terminar el contrato GHT no se queda con nada.</t>
  </si>
  <si>
    <t xml:space="preserve">C. Las tres opciones, lado a lado</t>
  </si>
  <si>
    <t xml:space="preserve">Opción</t>
  </si>
  <si>
    <t xml:space="preserve">Inversión inicial (USD)</t>
  </si>
  <si>
    <t xml:space="preserve">Costo anual recurrente (USD)</t>
  </si>
  <si>
    <t xml:space="preserve">TCO a 3 años (USD)</t>
  </si>
  <si>
    <t xml:space="preserve">¿GHT es dueña?</t>
  </si>
  <si>
    <t xml:space="preserve">¿Usa la rúbrica de GHT?</t>
  </si>
  <si>
    <t xml:space="preserve">Comprar licencias SaaS (stack de 3)</t>
  </si>
  <si>
    <t xml:space="preserve">No</t>
  </si>
  <si>
    <t xml:space="preserve">Construir con fábrica colombiana</t>
  </si>
  <si>
    <t xml:space="preserve">Construir con proveedor internacional</t>
  </si>
  <si>
    <t xml:space="preserve">LO QUE GHT PAGA A GTA (MVP + resto ejecutado + backlog pre-acordado)</t>
  </si>
  <si>
    <t xml:space="preserve">Ahorro de GHT frente a comprar licencias (3 años)</t>
  </si>
  <si>
    <t xml:space="preserve">Ahorro de GHT frente a construir con fábrica colombiana (3 años)</t>
  </si>
  <si>
    <t xml:space="preserve">Nota: costo anual de GTA = infraestructura Azure + WhatsApp + consumo LLM (USD 150-300/mes, sin margen, según Propuesta Económica §5.2).</t>
  </si>
  <si>
    <t xml:space="preserve">D. Validación cruzada de la estimación bottom-up</t>
  </si>
  <si>
    <t xml:space="preserve">Método</t>
  </si>
  <si>
    <t xml:space="preserve">Resultado (USD)</t>
  </si>
  <si>
    <t xml:space="preserve">Bottom-up: 1.599 h de fábrica colombiana con IA × USD 45/h</t>
  </si>
  <si>
    <t xml:space="preserve">Nuestra estimación por requerimiento.</t>
  </si>
  <si>
    <t xml:space="preserve">Bottom-up sin ajuste de IA: 2.284 h × USD 45/h</t>
  </si>
  <si>
    <t xml:space="preserve">Si la fábrica comparable no usara IA.</t>
  </si>
  <si>
    <t xml:space="preserve">Top-down: rango de mercado colombiano para producto con integraciones</t>
  </si>
  <si>
    <t xml:space="preserve">Punto medio del rango USD 80.000-180.000.</t>
  </si>
  <si>
    <t xml:space="preserve">Top-down: conversational AI multi-agente (tier 3)</t>
  </si>
  <si>
    <t xml:space="preserve">Punto medio del rango USD 50.000-150.000.</t>
  </si>
  <si>
    <t xml:space="preserve">Conclusión</t>
  </si>
  <si>
    <t xml:space="preserve">El bottom-up (USD 72.000-103.000) queda por DEBAJO del rango top-down del mercado colombiano (USD 80.000-180.000). La estimación es conservadora: si algo, subestima el valor entregado.</t>
  </si>
  <si>
    <t xml:space="preserve">E. Cómo presentar esto a GHT</t>
  </si>
  <si>
    <t xml:space="preserve">Abrir por la opción COMPRAR, no por la de construir. 'Si esto se licenciara, el stack mínimo cuesta USD 114.000 al año, para siempre, y ustedes no serían dueños de nada.' Ese número hace que cualquier cifra de construcción parezca razonable.</t>
  </si>
  <si>
    <t xml:space="preserve">Mostrar la tabla C completa. La columna que cierra la conversación no es el precio: es '¿GHT es dueña?' y '¿usa la rúbrica de GHT?'. GTA es la única fila con Sí en ambas.</t>
  </si>
  <si>
    <t xml:space="preserve">Usar solo comparables con precio público (Brightidea, Guru, Qualtrics, Culture Amp, Botmaker). Son verificables en 30 segundos y eso da credibilidad al resto.</t>
  </si>
  <si>
    <t xml:space="preserve">No presentar horas ni tarifas. La conversación es precio total contra alternativa total. En el momento en que se discuta USD/h, la ventaja desaparece.</t>
  </si>
  <si>
    <t xml:space="preserve">Cerrar con el ahorro a 3 años, no con el costo. Es el único número que GHT va a recordar.</t>
  </si>
  <si>
    <t xml:space="preserve">Si GHT dice que no necesita todo eso: correcto, y por eso no pagó USD 114.000/año. Pagó por exactamente lo que sí necesita, y encima queda como dueña.</t>
  </si>
  <si>
    <t xml:space="preserve">Fuentes (agosto 2026)</t>
  </si>
  <si>
    <t xml:space="preserve">SaaS Development Cost 2026 — MVP USD 25-70k · escala media USD 60-150k · enterprise USD 80-500k+ · https://ssntpl.com/saas-development-cost/</t>
  </si>
  <si>
    <t xml:space="preserve">AI Chatbot Development Cost 2026 — tiers rule-based / NLU / multi-agente / omnicanal · https://codiant.com/blog/ai-chatbot-development-cost-2026/</t>
  </si>
  <si>
    <t xml:space="preserve">Cleveroad — Chatbot Development Cost Guide 2026 · https://www.cleveroad.com/blog/chatbot-development-cost/</t>
  </si>
  <si>
    <t xml:space="preserve">DIPA Solutions — Desarrollo de software a medida en Colombia · https://www.dipasolutions.com/es/blog/desarrollo-software-medida-colombia/</t>
  </si>
  <si>
    <t xml:space="preserve">ITQlick — Brightidea Plans &amp; Pricing 2026 · https://www.itqlick.com/brightidea/pricing</t>
  </si>
  <si>
    <t xml:space="preserve">Hives.co — Idea Management Software Pricing Compared 2026 · https://www.hives.co/en/guides/idea-management-software-pricing</t>
  </si>
  <si>
    <t xml:space="preserve">Docsie — Bloomfire vs Guru Pricing 2026 · https://www.docsie.io/vs/bloomfire-vs-guru-pricing/</t>
  </si>
  <si>
    <t xml:space="preserve">ITQlick — Bloomfire Pricing 2026 · https://www.itqlick.com/bloomfire/pricing</t>
  </si>
  <si>
    <t xml:space="preserve">CleverX — Qualtrics Pricing Guide 2026 · https://cleverx.com/blog/qualtrics-pricing-guide-2026/</t>
  </si>
  <si>
    <t xml:space="preserve">PeopleOpsClub — Employee Engagement Software Pricing Guide 2026 · https://peopleopsclub.com/blog/employee-engagement-software-pricing-guide</t>
  </si>
  <si>
    <t xml:space="preserve">AutoLatam — Precios de chatbot WhatsApp para empresas LATAM 2026 · https://auto-latam.com/blog/chatbot-whatsapp-precio-empresas-latam-2026</t>
  </si>
  <si>
    <t xml:space="preserve">Botmaker — Precios · https://botmaker.com/en/prices/</t>
  </si>
  <si>
    <t xml:space="preserve">¿Cuánto facturar por el resto ejecutado?</t>
  </si>
  <si>
    <t xml:space="preserve">Excluye el backlog diferido. Cliente puntual con baja disposición a pagar. Se preserva la tarifa contractual y se ajusta el alcance cobrable.</t>
  </si>
  <si>
    <t xml:space="preserve">1. Reparto del esfuerzo real post-MVP</t>
  </si>
  <si>
    <t xml:space="preserve">Grupo</t>
  </si>
  <si>
    <t xml:space="preserve">¿Cobrable?</t>
  </si>
  <si>
    <t xml:space="preserve">Criterio</t>
  </si>
  <si>
    <t xml:space="preserve">A. Desarrollado y registrado en la hoja Estado (15 iniciativas)</t>
  </si>
  <si>
    <t xml:space="preserve">Trabajo con REQ asignado y trazable en la hoja de seguimiento.</t>
  </si>
  <si>
    <t xml:space="preserve">B. En curso / en pruebas y registrado (6 iniciativas)</t>
  </si>
  <si>
    <t xml:space="preserve">P-26, I-08, P-27, P-28, P-29, P-30. Código completo local aunque con flags OFF.</t>
  </si>
  <si>
    <t xml:space="preserve">C. Ejecutado pero AUSENTE de la hoja Estado (12 iniciativas)</t>
  </si>
  <si>
    <t xml:space="preserve">Sin aprobación previa ni registro. Cobrarlo abre una discusión que no conviene: se absorbe como concesión visible.</t>
  </si>
  <si>
    <t xml:space="preserve">D. Transversal: QA E2E y documentación</t>
  </si>
  <si>
    <t xml:space="preserve">Soporta la entrega de A y B; se factura prorrateado.</t>
  </si>
  <si>
    <t xml:space="preserve">Parámetros</t>
  </si>
  <si>
    <t xml:space="preserve">Horas reales post-MVP (14 jul – 10 ago)</t>
  </si>
  <si>
    <t xml:space="preserve">Inferidas de la cadencia de commits: 22 días activos, ~1,2 FTE</t>
  </si>
  <si>
    <t xml:space="preserve">Horas cobrables (grupos A + B + D)</t>
  </si>
  <si>
    <t xml:space="preserve">Horas absorbidas como concesión (grupo C)</t>
  </si>
  <si>
    <t xml:space="preserve">Tarifa contractual GTA (USD/h) — NO se descuenta</t>
  </si>
  <si>
    <t xml:space="preserve">Valor del resto ejecutado a precios de fábrica colombiana</t>
  </si>
  <si>
    <t xml:space="preserve">Es el precio de la alternativa real de GHT. Todo lo que se cobre por debajo es ahorro demostrable.</t>
  </si>
  <si>
    <t xml:space="preserve">2. Escenarios de facturación</t>
  </si>
  <si>
    <t xml:space="preserve">Escenario</t>
  </si>
  <si>
    <t xml:space="preserve">Base de cálculo</t>
  </si>
  <si>
    <t xml:space="preserve">vs. MVP</t>
  </si>
  <si>
    <t xml:space="preserve">vs. fábrica CO</t>
  </si>
  <si>
    <t xml:space="preserve">Uso en la negociación</t>
  </si>
  <si>
    <t xml:space="preserve">Apertura — contrato literal</t>
  </si>
  <si>
    <t xml:space="preserve">260 h reales × tarifa contractual</t>
  </si>
  <si>
    <t xml:space="preserve">Es lo que el contrato permite cobrar y sigue por debajo de la fábrica colombiana. Se pone para anclar, no para cerrar.</t>
  </si>
  <si>
    <t xml:space="preserve">RECOMENDADO — cierre</t>
  </si>
  <si>
    <t xml:space="preserve">202 h cobrables × tarifa contractual, con 58 h absorbidas</t>
  </si>
  <si>
    <t xml:space="preserve">Precio cerrado. La concesión de 58 h es visible y no toca la tarifa.</t>
  </si>
  <si>
    <t xml:space="preserve">Piso — walk-away</t>
  </si>
  <si>
    <t xml:space="preserve">1,25 ciclos de capacidad (200 h)</t>
  </si>
  <si>
    <t xml:space="preserve">No bajar de aquí: por debajo, el precio/hora efectivo cae bajo el del MVP y quema el ancla de la extensión.</t>
  </si>
  <si>
    <t xml:space="preserve">Rendición (no recomendado)</t>
  </si>
  <si>
    <t xml:space="preserve">1 ciclo de capacidad (160 h)</t>
  </si>
  <si>
    <t xml:space="preserve">Cede ~USD 5.000 sin contrapartida. Solo si el riesgo de relación es real.</t>
  </si>
  <si>
    <t xml:space="preserve">3. Triangulación del número recomendado</t>
  </si>
  <si>
    <t xml:space="preserve">Cuatro métodos independientes convergen en el mismo rango:</t>
  </si>
  <si>
    <t xml:space="preserve">Método 1 — Esfuerzo cobrable</t>
  </si>
  <si>
    <t xml:space="preserve">202 h × tarifa contractual</t>
  </si>
  <si>
    <t xml:space="preserve">Método 2 — Duración relativa al MVP</t>
  </si>
  <si>
    <t xml:space="preserve">20 días hábiles post-MVP vs. 8 del sprint = 2,5x × USD 9.750</t>
  </si>
  <si>
    <t xml:space="preserve">Método 3 — Ciclos de capacidad</t>
  </si>
  <si>
    <t xml:space="preserve">1,25 ciclos de los 160 h/mes contratados</t>
  </si>
  <si>
    <t xml:space="preserve">Método 4 — Descuento sobre la alternativa de mercado</t>
  </si>
  <si>
    <t xml:space="preserve">57% del costo de una fábrica colombiana con IA</t>
  </si>
  <si>
    <t xml:space="preserve">4. Cómo se ve para GHT</t>
  </si>
  <si>
    <t xml:space="preserve">Ya facturado — MVP base</t>
  </si>
  <si>
    <t xml:space="preserve">Propuesto — resto ejecutado</t>
  </si>
  <si>
    <t xml:space="preserve">TOTAL DEL PROYECTO</t>
  </si>
  <si>
    <t xml:space="preserve">Costo de reposición: fábrica colombiana con IA</t>
  </si>
  <si>
    <t xml:space="preserve">Ahorro de GHT frente a esa alternativa</t>
  </si>
  <si>
    <t xml:space="preserve">GHT paga, sobre el costo de la alternativa</t>
  </si>
  <si>
    <t xml:space="preserve">5. Reglas de la negociación</t>
  </si>
  <si>
    <t xml:space="preserve">No descontar la tarifa: se descuentan horas, nunca los USD 121,88/h. La tarifa es el activo que hay que proteger para la extensión.</t>
  </si>
  <si>
    <t xml:space="preserve">Si GHT compara tarifas contra una fábrica colombiana (USD 45/h), no defender el número: cambiar la unidad. 'Ustedes no compran horas, compran iniciativas entregadas. Nuestra hora produce 4,4 veces más, así que cada iniciativa les sale 39% más barata.'</t>
  </si>
  <si>
    <t xml:space="preserve">Poner la concesión sobre la mesa primero: 'ejecutamos 33 iniciativas, les facturamos 21; las 12 sin registrar las absorbemos.' Eso compra el derecho a cobrar el resto completo.</t>
  </si>
  <si>
    <t xml:space="preserve">Justificar el múltiplo 2,5x con volumen, no con esfuerzo: 33 iniciativas vs. 11 requerimientos, 4 semanas vs. 8 días hábiles, +39.826 líneas vs. +30.057.</t>
  </si>
  <si>
    <t xml:space="preserve">Si hay resistencia, facilitar la aprobación en vez del precio: 2 cuotas (50% firma / 50% a 30 días) antes que bajar el número.</t>
  </si>
  <si>
    <t xml:space="preserve">Cerrar el diferido con precio pre-acordado (~USD 18.000 a tarifa de fábrica colombiana). Convierte este cierre en una opción de renovación en lugar de un final.</t>
  </si>
  <si>
    <t xml:space="preserve">Condición innegociable para la siguiente fase: columnas Estimación/Horas/Tarifa llenas y aprobaciones firmadas antes de ejecutar. Sin eso se repite la fuga de 58 h.</t>
  </si>
  <si>
    <t xml:space="preserve">MVP base — estimación (REQ-001 a REQ-011)</t>
  </si>
  <si>
    <t xml:space="preserve">Sprint 13–24 jun 2026 · 81 commits · 319 archivos · 30.057 líneas netas en src+tests · Horas = fábrica de software colombiana SIN IA</t>
  </si>
  <si>
    <t xml:space="preserve">ID</t>
  </si>
  <si>
    <t xml:space="preserve">Requerimiento</t>
  </si>
  <si>
    <t xml:space="preserve">Alcance técnico que sustenta la estimación</t>
  </si>
  <si>
    <t xml:space="preserve">Horas sin IA</t>
  </si>
  <si>
    <t xml:space="preserve">Horas con IA</t>
  </si>
  <si>
    <t xml:space="preserve">Complejidad</t>
  </si>
  <si>
    <t xml:space="preserve">REQ-011</t>
  </si>
  <si>
    <t xml:space="preserve">Plataforma base (.NET 8, Cosmos, API REST, CI/CD)</t>
  </si>
  <si>
    <t xml:space="preserve">Solución modular de 6 proyectos, modelo Cosmos, contrato REST, pipelines GitHub Actions, IaC Azure</t>
  </si>
  <si>
    <t xml:space="preserve">Alta</t>
  </si>
  <si>
    <t xml:space="preserve">REQ-001</t>
  </si>
  <si>
    <t xml:space="preserve">Autenticación de administrador por OTP de WhatsApp</t>
  </si>
  <si>
    <t xml:space="preserve">Login passwordless, emisión/validación de OTP, sesión JWT, rate limit anti-abuso</t>
  </si>
  <si>
    <t xml:space="preserve">Media</t>
  </si>
  <si>
    <t xml:space="preserve">REQ-002</t>
  </si>
  <si>
    <t xml:space="preserve">Identidad y matrícula de participantes</t>
  </si>
  <si>
    <t xml:space="preserve">Resolución de identidad por número, validación de matrícula y estado activo por campaña</t>
  </si>
  <si>
    <t xml:space="preserve">REQ-003</t>
  </si>
  <si>
    <t xml:space="preserve">Gestión de campañas, usuarios y preguntas</t>
  </si>
  <si>
    <t xml:space="preserve">CRUD completo con asociaciones N:M, tags, validaciones y API</t>
  </si>
  <si>
    <t xml:space="preserve">Media-Alta</t>
  </si>
  <si>
    <t xml:space="preserve">REQ-004</t>
  </si>
  <si>
    <t xml:space="preserve">Envío de mensajes iniciales por WhatsApp</t>
  </si>
  <si>
    <t xml:space="preserve">Integración WhatsApp Cloud API, plantillas HSM, reenvío a no respondientes, reintento de fallidos, idempotencia</t>
  </si>
  <si>
    <t xml:space="preserve">REQ-005</t>
  </si>
  <si>
    <t xml:space="preserve">Captura conversacional de ideas y consolidación</t>
  </si>
  <si>
    <t xml:space="preserve">Orquestador con máquina de estados, paráfrasis, confirmación y consolidación sin pérdida — núcleo del sistema</t>
  </si>
  <si>
    <t xml:space="preserve">Muy alta</t>
  </si>
  <si>
    <t xml:space="preserve">REQ-006</t>
  </si>
  <si>
    <t xml:space="preserve">Rúbricas, prompts versionados y configuración LLM</t>
  </si>
  <si>
    <t xml:space="preserve">Rúbrica Markdown parametrizable, versionado y aprobación de prompts, config de proveedor LLM, custodia segura de API key</t>
  </si>
  <si>
    <t xml:space="preserve">REQ-007</t>
  </si>
  <si>
    <t xml:space="preserve">Evaluación de ideas con LLM y retroalimentación</t>
  </si>
  <si>
    <t xml:space="preserve">Motor de evaluación por rúbrica, retro breve, máx. una repregunta, snapshots reproducibles</t>
  </si>
  <si>
    <t xml:space="preserve">REQ-008</t>
  </si>
  <si>
    <t xml:space="preserve">Compilación de artefactos Markdown por idea</t>
  </si>
  <si>
    <t xml:space="preserve">Generador de Markdown canónico con trazabilidad, consultable y regenerable</t>
  </si>
  <si>
    <t xml:space="preserve">REQ-009</t>
  </si>
  <si>
    <t xml:space="preserve">Portal administrativo Angular con marca GHT</t>
  </si>
  <si>
    <t xml:space="preserve">SPA Angular con marca GHT: usuarios, campañas, configuración y resultados (~19.400 líneas)</t>
  </si>
  <si>
    <t xml:space="preserve">REQ-010</t>
  </si>
  <si>
    <t xml:space="preserve">Seguridad, guardrails, trazabilidad y observabilidad</t>
  </si>
  <si>
    <t xml:space="preserve">Rate limiting, anti prompt-injection, firma de webhook, no fuga de secretos, telemetría</t>
  </si>
  <si>
    <t xml:space="preserve">Subtotal funcional</t>
  </si>
  <si>
    <t xml:space="preserve">TRANSV-1</t>
  </si>
  <si>
    <t xml:space="preserve">QA y pruebas automatizadas transversales</t>
  </si>
  <si>
    <t xml:space="preserve">~23.200 líneas de test en 3 proyectos (unitarias, integración, calibración)</t>
  </si>
  <si>
    <t xml:space="preserve">TRANSV-2</t>
  </si>
  <si>
    <t xml:space="preserve">Documentación técnica, contratos de API y gestión</t>
  </si>
  <si>
    <t xml:space="preserve">Especificaciones base, ARQ, contratos, coordinación y reporte diario del sprint</t>
  </si>
  <si>
    <t xml:space="preserve">TOTAL MVP BASE</t>
  </si>
  <si>
    <t xml:space="preserve">Contraste con lo facturado</t>
  </si>
  <si>
    <t xml:space="preserve">Precio cerrado cobrado por el sprint MVP (Propuesta Económica §5.1)</t>
  </si>
  <si>
    <t xml:space="preserve">Ratio precio cobrado / costo de una fábrica colombiana con IA</t>
  </si>
  <si>
    <t xml:space="preserve">Horas reales del sprint (evidencia git: 11 días activos, cadencia intensiva)</t>
  </si>
  <si>
    <t xml:space="preserve">Resto — trabajo ya ejecutado (post-MVP)</t>
  </si>
  <si>
    <t xml:space="preserve">14 jul – 10 ago 2026 · 128 commits · +39.826 / -1.901 líneas en src+tests · 'LOC medida' = churn atribuido por ID en el mensaje de commit</t>
  </si>
  <si>
    <t xml:space="preserve">ID nativo</t>
  </si>
  <si>
    <t xml:space="preserve">REQ</t>
  </si>
  <si>
    <t xml:space="preserve">Iniciativa</t>
  </si>
  <si>
    <t xml:space="preserve">Estado (hoja Estado)</t>
  </si>
  <si>
    <t xml:space="preserve">LOC medida</t>
  </si>
  <si>
    <t xml:space="preserve">Base de la estimación</t>
  </si>
  <si>
    <t xml:space="preserve">A. Desarrollado — registrado en la hoja Estado</t>
  </si>
  <si>
    <t xml:space="preserve">I-19</t>
  </si>
  <si>
    <t xml:space="preserve">REQ-037</t>
  </si>
  <si>
    <t xml:space="preserve">Consolidación progresiva de ideas</t>
  </si>
  <si>
    <t xml:space="preserve">Desarrollado</t>
  </si>
  <si>
    <t xml:space="preserve">XXL. Idea canónica con versionado, reapertura, encolado, Markdown y API por idea, observabilidad de costo. 18 commits.</t>
  </si>
  <si>
    <t xml:space="preserve">I-18</t>
  </si>
  <si>
    <t xml:space="preserve">REQ-036</t>
  </si>
  <si>
    <t xml:space="preserve">Coaching secuencial por idea</t>
  </si>
  <si>
    <t xml:space="preserve">L. Cola de ideas, contador y revisiones enlazadas.</t>
  </si>
  <si>
    <t xml:space="preserve">P-15</t>
  </si>
  <si>
    <t xml:space="preserve">REQ-027</t>
  </si>
  <si>
    <t xml:space="preserve">Refactor del orquestador conversacional</t>
  </si>
  <si>
    <t xml:space="preserve">L. Remediación CAL-001: 3 cortes, extracción de política, transición y efectos.</t>
  </si>
  <si>
    <t xml:space="preserve">I-20</t>
  </si>
  <si>
    <t xml:space="preserve">REQ-038</t>
  </si>
  <si>
    <t xml:space="preserve">Redacción fluida + Markdown ejecutivo</t>
  </si>
  <si>
    <t xml:space="preserve">L. Redactor LLM por acto con guardas deterministas; 4 cortes.</t>
  </si>
  <si>
    <t xml:space="preserve">I-17</t>
  </si>
  <si>
    <t xml:space="preserve">REQ-025</t>
  </si>
  <si>
    <t xml:space="preserve">BD de dos niveles de madurez + cierre por inactividad</t>
  </si>
  <si>
    <t xml:space="preserve">M-L. Backend + portal; umbral configurable.</t>
  </si>
  <si>
    <t xml:space="preserve">I-06</t>
  </si>
  <si>
    <t xml:space="preserve">REQ-019</t>
  </si>
  <si>
    <t xml:space="preserve">Multi-idea (N registros por participante)</t>
  </si>
  <si>
    <t xml:space="preserve">M. Segmentación de múltiples ideas por mensaje; churn parcialmente fuera de la ventana medida.</t>
  </si>
  <si>
    <t xml:space="preserve">P-16</t>
  </si>
  <si>
    <t xml:space="preserve">REQ-029</t>
  </si>
  <si>
    <t xml:space="preserve">Refactor de página de campañas</t>
  </si>
  <si>
    <t xml:space="preserve">M. Remediación CAL-002; 1.063 add / 963 del = reescritura.</t>
  </si>
  <si>
    <t xml:space="preserve">P-25</t>
  </si>
  <si>
    <t xml:space="preserve">REQ-040</t>
  </si>
  <si>
    <t xml:space="preserve">Coaching directo sin confirmación repetitiva</t>
  </si>
  <si>
    <t xml:space="preserve">n.d.</t>
  </si>
  <si>
    <t xml:space="preserve">M. Cambio de flujo transversal; 583/583 tests.</t>
  </si>
  <si>
    <t xml:space="preserve">I-03</t>
  </si>
  <si>
    <t xml:space="preserve">REQ-023</t>
  </si>
  <si>
    <t xml:space="preserve">Follow-ups al eje débil de la rúbrica</t>
  </si>
  <si>
    <t xml:space="preserve">S-M. Foco al eje débil sin revelar la rúbrica + filtro anti-fuga.</t>
  </si>
  <si>
    <t xml:space="preserve">P-03</t>
  </si>
  <si>
    <t xml:space="preserve">REQ-015</t>
  </si>
  <si>
    <t xml:space="preserve">Reinicio de datos por participante/campaña</t>
  </si>
  <si>
    <t xml:space="preserve">M. Herramienta interna de purga conservando configuración.</t>
  </si>
  <si>
    <t xml:space="preserve">P-21</t>
  </si>
  <si>
    <t xml:space="preserve">REQ-033</t>
  </si>
  <si>
    <t xml:space="preserve">Multi-número de WhatsApp</t>
  </si>
  <si>
    <t xml:space="preserve">S-M. Enrutamiento por número entrante; 473/473 tests.</t>
  </si>
  <si>
    <t xml:space="preserve">I-05</t>
  </si>
  <si>
    <t xml:space="preserve">REQ-021</t>
  </si>
  <si>
    <t xml:space="preserve">Paráfrasis y transparencia</t>
  </si>
  <si>
    <t xml:space="preserve">S. Paráfrasis por campaña con kill-switch.</t>
  </si>
  <si>
    <t xml:space="preserve">P-13</t>
  </si>
  <si>
    <t xml:space="preserve">REQ-024</t>
  </si>
  <si>
    <t xml:space="preserve">Umbral de cierre por campaña</t>
  </si>
  <si>
    <t xml:space="preserve">S. Override por campaña + kill-switch.</t>
  </si>
  <si>
    <t xml:space="preserve">P-14</t>
  </si>
  <si>
    <t xml:space="preserve">REQ-026</t>
  </si>
  <si>
    <t xml:space="preserve">Vista de solo lectura de rúbricas y prompts</t>
  </si>
  <si>
    <t xml:space="preserve">S. Frontend-only.</t>
  </si>
  <si>
    <t xml:space="preserve">I-16</t>
  </si>
  <si>
    <t xml:space="preserve">REQ-018</t>
  </si>
  <si>
    <t xml:space="preserve">Fix de calificación en Markdown</t>
  </si>
  <si>
    <t xml:space="preserve">XS. Bug: usar la evaluación más reciente.</t>
  </si>
  <si>
    <t xml:space="preserve">Subtotal</t>
  </si>
  <si>
    <t xml:space="preserve">B. En curso / en pruebas — registrado en la hoja Estado</t>
  </si>
  <si>
    <t xml:space="preserve">P-26</t>
  </si>
  <si>
    <t xml:space="preserve">REQ-041</t>
  </si>
  <si>
    <t xml:space="preserve">Campañas continuas y selección de campaña/pregunta</t>
  </si>
  <si>
    <t xml:space="preserve">En pruebas</t>
  </si>
  <si>
    <t xml:space="preserve">XXL. 6 cortes: dominio, resolución multi-campaña, selección de pregunta, cupos móviles 24h, portal, observabilidad.</t>
  </si>
  <si>
    <t xml:space="preserve">I-08</t>
  </si>
  <si>
    <t xml:space="preserve">REQ-022</t>
  </si>
  <si>
    <t xml:space="preserve">Carga masiva de participantes (v1 + v2)</t>
  </si>
  <si>
    <t xml:space="preserve">En curso</t>
  </si>
  <si>
    <t xml:space="preserve">XL. Backend + portal + plantilla oficial + conflictos + ficha de usuario. 2 versiones.</t>
  </si>
  <si>
    <t xml:space="preserve">P-27</t>
  </si>
  <si>
    <t xml:space="preserve">REQ-042</t>
  </si>
  <si>
    <t xml:space="preserve">Clasificación de intenciones de control</t>
  </si>
  <si>
    <t xml:space="preserve">L. Alias deterministas + clasificador LLM opt-in; 5 cortes.</t>
  </si>
  <si>
    <t xml:space="preserve">P-30</t>
  </si>
  <si>
    <t xml:space="preserve">REQ-014</t>
  </si>
  <si>
    <t xml:space="preserve">Reanudación de ideas anteriores</t>
  </si>
  <si>
    <t xml:space="preserve">L. 3 cortes; iniciada 05-ago.</t>
  </si>
  <si>
    <t xml:space="preserve">P-29</t>
  </si>
  <si>
    <t xml:space="preserve">REQ-013</t>
  </si>
  <si>
    <t xml:space="preserve">Cierre conversacional por tiempo</t>
  </si>
  <si>
    <t xml:space="preserve">M. 2 cortes; voz humana + telemetría del aviso de pausa.</t>
  </si>
  <si>
    <t xml:space="preserve">P-28</t>
  </si>
  <si>
    <t xml:space="preserve">REQ-012</t>
  </si>
  <si>
    <t xml:space="preserve">Reactivación / despertar proactivo del coach</t>
  </si>
  <si>
    <t xml:space="preserve">M. Saludo/inicio breve sin crear idea.</t>
  </si>
  <si>
    <t xml:space="preserve">C. Ejecutado pero AUSENTE de la hoja Estado — riesgo de fuga de facturación</t>
  </si>
  <si>
    <t xml:space="preserve">P-32</t>
  </si>
  <si>
    <t xml:space="preserve">—</t>
  </si>
  <si>
    <t xml:space="preserve">Corte 2 (iniciativa en curso, 10-ago)</t>
  </si>
  <si>
    <t xml:space="preserve">No registrado</t>
  </si>
  <si>
    <t xml:space="preserve">L-XL. 2.708 líneas insertadas el 10-ago; sin fila en la hoja.</t>
  </si>
  <si>
    <t xml:space="preserve">D5</t>
  </si>
  <si>
    <t xml:space="preserve">REQ-016</t>
  </si>
  <si>
    <t xml:space="preserve">Banco de calibración de la evaluación</t>
  </si>
  <si>
    <t xml:space="preserve">M. Librería + golden set (24 casos) + runner; proyecto ElTejido.Calibracion.</t>
  </si>
  <si>
    <t xml:space="preserve">P-10</t>
  </si>
  <si>
    <t xml:space="preserve">REQ-017</t>
  </si>
  <si>
    <t xml:space="preserve">Guardrails: cupos, rate por número y costo LLM</t>
  </si>
  <si>
    <t xml:space="preserve">M. Backend hecho; portal pendiente.</t>
  </si>
  <si>
    <t xml:space="preserve">P-31</t>
  </si>
  <si>
    <t xml:space="preserve">Resumen de consolidación por umbral</t>
  </si>
  <si>
    <t xml:space="preserve">M. Especificada 06-ago; E2E cerrado 07-ago. Choca de ID con REQ-052 en la hoja.</t>
  </si>
  <si>
    <t xml:space="preserve">P-09</t>
  </si>
  <si>
    <t xml:space="preserve">REQ-050</t>
  </si>
  <si>
    <t xml:space="preserve">Monitoreo día D (health-check + runbook)</t>
  </si>
  <si>
    <t xml:space="preserve">S-M. Panel diferido; se conservan health-check y runbook.</t>
  </si>
  <si>
    <t xml:space="preserve">P-24</t>
  </si>
  <si>
    <t xml:space="preserve">REQ-039</t>
  </si>
  <si>
    <t xml:space="preserve">Evaluación implícita al solicitar mejora</t>
  </si>
  <si>
    <t xml:space="preserve">S-M. Bug de flujo; 579/579 tests.</t>
  </si>
  <si>
    <t xml:space="preserve">P-23</t>
  </si>
  <si>
    <t xml:space="preserve">REQ-035</t>
  </si>
  <si>
    <t xml:space="preserve">UX de resultados (maestro-detalle)</t>
  </si>
  <si>
    <t xml:space="preserve">S. Frontend-only; 24/24 tests.</t>
  </si>
  <si>
    <t xml:space="preserve">P-17</t>
  </si>
  <si>
    <t xml:space="preserve">REQ-028</t>
  </si>
  <si>
    <t xml:space="preserve">Errores de API uniformes</t>
  </si>
  <si>
    <t xml:space="preserve">S. Remediación API-001.</t>
  </si>
  <si>
    <t xml:space="preserve">P-22</t>
  </si>
  <si>
    <t xml:space="preserve">REQ-034</t>
  </si>
  <si>
    <t xml:space="preserve">UX de campañas</t>
  </si>
  <si>
    <t xml:space="preserve">S. Frontend-only; 21/21 tests.</t>
  </si>
  <si>
    <t xml:space="preserve">P-18</t>
  </si>
  <si>
    <t xml:space="preserve">REQ-030</t>
  </si>
  <si>
    <t xml:space="preserve">Controles con nombre accesible</t>
  </si>
  <si>
    <t xml:space="preserve">XS-S. Accesibilidad UXA11Y-001.</t>
  </si>
  <si>
    <t xml:space="preserve">P-19</t>
  </si>
  <si>
    <t xml:space="preserve">REQ-031</t>
  </si>
  <si>
    <t xml:space="preserve">Estados dinámicos accesibles</t>
  </si>
  <si>
    <t xml:space="preserve">XS-S. Accesibilidad UXA11Y-002.</t>
  </si>
  <si>
    <t xml:space="preserve">P-20</t>
  </si>
  <si>
    <t xml:space="preserve">REQ-032</t>
  </si>
  <si>
    <t xml:space="preserve">Pestañas accesibles de campañas</t>
  </si>
  <si>
    <t xml:space="preserve">XS-S. Accesibilidad UXA11Y-003.</t>
  </si>
  <si>
    <t xml:space="preserve">D. Esfuerzo transversal ejecutado — no atribuible a una sola iniciativa</t>
  </si>
  <si>
    <t xml:space="preserve">QAS</t>
  </si>
  <si>
    <t xml:space="preserve">Campaña de pruebas E2E conversacionales</t>
  </si>
  <si>
    <t xml:space="preserve">Ejecutado</t>
  </si>
  <si>
    <t xml:space="preserve">18 archivos en /QAS: guías ejecutables, datos, auditoría y corridas contra Azure (13 PASS).</t>
  </si>
  <si>
    <t xml:space="preserve">DOC</t>
  </si>
  <si>
    <t xml:space="preserve">Especificación y gobierno del backlog</t>
  </si>
  <si>
    <t xml:space="preserve">51 specs de iniciativa + documentos de requerimiento + hoja de seguimiento.</t>
  </si>
  <si>
    <t xml:space="preserve">TOTAL RESTO EJECUTADO</t>
  </si>
  <si>
    <t xml:space="preserve">Resto — backlog diferido (aún no ejecutado)</t>
  </si>
  <si>
    <t xml:space="preserve">Estimación prospectiva a tarifa de fábrica colombiana. Es la base de la conversación de renovación con GHT.</t>
  </si>
  <si>
    <t xml:space="preserve">Supuesto / bloqueo</t>
  </si>
  <si>
    <t xml:space="preserve">P-05</t>
  </si>
  <si>
    <t xml:space="preserve">REQ-046</t>
  </si>
  <si>
    <t xml:space="preserve">Capa de insights</t>
  </si>
  <si>
    <t xml:space="preserve">Extracción de hallazgos y patrones sobre el corpus de ideas. Requiere definir preguntas de negocio; alto componente de LLM y validación.</t>
  </si>
  <si>
    <t xml:space="preserve">REQ-053</t>
  </si>
  <si>
    <t xml:space="preserve">Multidioma (inglés en el chatbot)</t>
  </si>
  <si>
    <t xml:space="preserve">Toca plantilla HSM aprobada, prompts, vocabularios deterministas de intención y contenido de campaña. Sin especificar — rango real 60-140 h.</t>
  </si>
  <si>
    <t xml:space="preserve">P-04</t>
  </si>
  <si>
    <t xml:space="preserve">REQ-045</t>
  </si>
  <si>
    <t xml:space="preserve">Dashboard de resultados</t>
  </si>
  <si>
    <t xml:space="preserve">Tablero visual en el portal. Frontend + endpoints de agregación.</t>
  </si>
  <si>
    <t xml:space="preserve">I-09</t>
  </si>
  <si>
    <t xml:space="preserve">REQ-020</t>
  </si>
  <si>
    <t xml:space="preserve">Tejido colectivo</t>
  </si>
  <si>
    <t xml:space="preserve">Core ya implementado con flag OFF; restan Capa 3 + UI + validación de anonimización.</t>
  </si>
  <si>
    <t xml:space="preserve">P-06</t>
  </si>
  <si>
    <t xml:space="preserve">REQ-047</t>
  </si>
  <si>
    <t xml:space="preserve">Destilación por lotes</t>
  </si>
  <si>
    <t xml:space="preserve">Procesamiento batch de grandes volúmenes. Requiere control de costo LLM.</t>
  </si>
  <si>
    <t xml:space="preserve">P-11</t>
  </si>
  <si>
    <t xml:space="preserve">REQ-051</t>
  </si>
  <si>
    <t xml:space="preserve">Informe consolidado</t>
  </si>
  <si>
    <t xml:space="preserve">Informe por campaña; depende de P-04/P-05 para no duplicar agregaciones.</t>
  </si>
  <si>
    <t xml:space="preserve">P-08</t>
  </si>
  <si>
    <t xml:space="preserve">REQ-049</t>
  </si>
  <si>
    <t xml:space="preserve">Recordatorios / nudges</t>
  </si>
  <si>
    <t xml:space="preserve">Bloqueado: requiere plantilla HSM aprobada por Meta.</t>
  </si>
  <si>
    <t xml:space="preserve">REQ-052</t>
  </si>
  <si>
    <t xml:space="preserve">Manuales de parametrización</t>
  </si>
  <si>
    <t xml:space="preserve">Documentación de funcionamiento y configuración. El ID REQ-052 también se usó para P-31.</t>
  </si>
  <si>
    <t xml:space="preserve">I-12</t>
  </si>
  <si>
    <t xml:space="preserve">REQ-043</t>
  </si>
  <si>
    <t xml:space="preserve">Seed thoughts por campaña</t>
  </si>
  <si>
    <t xml:space="preserve">BLOQUEADO: insumo de seeds vencido; escalar a Felipe.</t>
  </si>
  <si>
    <t xml:space="preserve">I-10</t>
  </si>
  <si>
    <t xml:space="preserve">REQ-044</t>
  </si>
  <si>
    <t xml:space="preserve">Flag base previa vs. en blanco</t>
  </si>
  <si>
    <t xml:space="preserve">Diferida con I-09 a Capa 3; campo ya en el modelo, OFF.</t>
  </si>
  <si>
    <t xml:space="preserve">P-07</t>
  </si>
  <si>
    <t xml:space="preserve">REQ-048</t>
  </si>
  <si>
    <t xml:space="preserve">Consentimiento de datos</t>
  </si>
  <si>
    <t xml:space="preserve">Diferida por ser herramienta interna (IP de GHT). Revisar exposición legal antes de descartar.</t>
  </si>
  <si>
    <t xml:space="preserve">TOTAL BACKLOG DIFERIDO</t>
  </si>
  <si>
    <t xml:space="preserve">Precio sugerido a pre-acordar con GHT (paquete cerrado, 15% de descuento por compromiso anticipado):</t>
  </si>
  <si>
    <t xml:space="preserve">Base de cálculo, evidencia, fuentes y supuestos</t>
  </si>
  <si>
    <t xml:space="preserve">1. Evidencia medida en el repositorio (git, corte 2026-08-10)</t>
  </si>
  <si>
    <t xml:space="preserve">Commits totales</t>
  </si>
  <si>
    <t xml:space="preserve">209</t>
  </si>
  <si>
    <t xml:space="preserve">git log</t>
  </si>
  <si>
    <t xml:space="preserve">Días con actividad de commit</t>
  </si>
  <si>
    <t xml:space="preserve">34</t>
  </si>
  <si>
    <t xml:space="preserve">11 en jun, 15 en jul, 8 en ago</t>
  </si>
  <si>
    <t xml:space="preserve">Líneas de código en src/ (6 proyectos)</t>
  </si>
  <si>
    <t xml:space="preserve">56.088</t>
  </si>
  <si>
    <t xml:space="preserve">Api 4.262 · Application 17.579 · Domain 4.199 · Infrastructure 9.891 · Web 19.385 · Calibracion 772</t>
  </si>
  <si>
    <t xml:space="preserve">Líneas de código en tests/ (3 proyectos)</t>
  </si>
  <si>
    <t xml:space="preserve">23.223</t>
  </si>
  <si>
    <t xml:space="preserve">UnitTests 16.334 · IntegrationTests 6.610 · Calibracion 279</t>
  </si>
  <si>
    <t xml:space="preserve">Archivos fuente versionados</t>
  </si>
  <si>
    <t xml:space="preserve">431 .cs + 37 .ts + 6 html/scss</t>
  </si>
  <si>
    <t xml:space="preserve">MVP (12–24 jun): churn en src+tests</t>
  </si>
  <si>
    <t xml:space="preserve">+30.057 / -46 en 319 archivos</t>
  </si>
  <si>
    <t xml:space="preserve">git diff root..último commit de junio</t>
  </si>
  <si>
    <t xml:space="preserve">Post-MVP (24 jun–10 ago): churn en src+tests</t>
  </si>
  <si>
    <t xml:space="preserve">+39.826 / -1.901 en 300 archivos</t>
  </si>
  <si>
    <t xml:space="preserve">git diff último-junio..HEAD</t>
  </si>
  <si>
    <t xml:space="preserve">2. Tarifa de fábrica de software colombiana — fuentes (agosto 2026)</t>
  </si>
  <si>
    <t xml:space="preserve">Salario/tarifa directa del desarrollador senior en Colombia</t>
  </si>
  <si>
    <t xml:space="preserve">USD 32–40/h</t>
  </si>
  <si>
    <t xml:space="preserve">lemon.io Rate Calculator Colombia 2026. Seniors fuertes 42–45/h; mid 23–31/h.</t>
  </si>
  <si>
    <t xml:space="preserve">Perfiles Python / MLOps / LLM</t>
  </si>
  <si>
    <t xml:space="preserve">+37% sobre la mediana senior (~USD 46/h)</t>
  </si>
  <si>
    <t xml:space="preserve">lemon.io / Curotec — es el segmento de más rápido movimiento en 2026.</t>
  </si>
  <si>
    <t xml:space="preserve">Bill rate de agencia al cliente</t>
  </si>
  <si>
    <t xml:space="preserve">USD 25–60/h</t>
  </si>
  <si>
    <t xml:space="preserve">Kore BPO: dev mid a USD 26/h directo + ~40% de carga patronal = ~36/h, + 35% de margen ≈ 49/h de bill rate.</t>
  </si>
  <si>
    <t xml:space="preserve">Staffing nearshore (rango amplio)</t>
  </si>
  <si>
    <t xml:space="preserve">USD 45–110/h</t>
  </si>
  <si>
    <t xml:space="preserve">Kore BPO Nearshore Staffing Pricing 2026 — incluye perfiles US-facing con inglés C1.</t>
  </si>
  <si>
    <t xml:space="preserve">TARIFA USADA EN ESTE MODELO</t>
  </si>
  <si>
    <t xml:space="preserve">USD 45/h</t>
  </si>
  <si>
    <t xml:space="preserve">Blended de un equipo de fábrica (arquitecto + 2 devs + QA + PM) para stack .NET 8 + Angular + integración LLM. Escenarios 35 / 45 / 55 en la hoja Resumen.</t>
  </si>
  <si>
    <t xml:space="preserve">3. Ajuste por uso de IA en la fábrica comparable — fuentes</t>
  </si>
  <si>
    <t xml:space="preserve">Experimentos controlados: tareas acotadas de código</t>
  </si>
  <si>
    <t xml:space="preserve">30–55% más rápido</t>
  </si>
  <si>
    <t xml:space="preserve">Aplica a funciones, tests y boilerplate; no a diseño, integración ni depuración.</t>
  </si>
  <si>
    <t xml:space="preserve">McKinsey — 4.500 devs en 150 empresas</t>
  </si>
  <si>
    <t xml:space="preserve">-46% de tiempo en tareas rutinarias de código</t>
  </si>
  <si>
    <t xml:space="preserve">Solo la porción rutinaria del trabajo, no la entrega completa.</t>
  </si>
  <si>
    <t xml:space="preserve">DX — 135.000 desarrolladores</t>
  </si>
  <si>
    <t xml:space="preserve">3,6 h ahorradas por semana (~9%)</t>
  </si>
  <si>
    <t xml:space="preserve">Efecto real medido a nivel de organización.</t>
  </si>
  <si>
    <t xml:space="preserve">Paradoja de productividad</t>
  </si>
  <si>
    <t xml:space="preserve">Más output individual, poca mejora de velocidad de entrega</t>
  </si>
  <si>
    <t xml:space="preserve">La coordinación, revisión y QA no se comprimen con IA.</t>
  </si>
  <si>
    <t xml:space="preserve">AJUSTE USADO EN ESTE MODELO</t>
  </si>
  <si>
    <t xml:space="preserve">-30% de horas</t>
  </si>
  <si>
    <t xml:space="preserve">Punto medio conservador entre el 46% de tarea y el ~10% organizacional. Una fábrica con adopción madura de IA, pero con su estructura de equipo, handoffs y ceremonias intacta.</t>
  </si>
  <si>
    <t xml:space="preserve">4. Por qué GTA rinde 4,4x y una fábrica con IA no</t>
  </si>
  <si>
    <t xml:space="preserve">La fábrica comprime la codificación pero conserva la estructura: PM, analista, 2-3 devs, QA, ceremonias, handoffs y revisiones cruzadas. Ahí es donde se va el tiempo que la IA no toca.</t>
  </si>
  <si>
    <t xml:space="preserve">GTA opera con un experto único y agentes de IA: no hay traspaso de contexto, ni reunión de refinamiento, ni tiempo de espera entre roles. La especificación, el código y las pruebas los produce el mismo ciclo.</t>
  </si>
  <si>
    <t xml:space="preserve">El repositorio lo evidencia: 33 iniciativas en 22 días activos, con cortes documentados y suites de 579-698 tests corriendo en verde. Ese ritmo no es alcanzable con un pipeline de fábrica.</t>
  </si>
  <si>
    <t xml:space="preserve">Consecuencia comercial: la ventaja de GTA NO es la tarifa (que es 2,7x la colombiana), es el rendimiento por hora. Toda la negociación debe ocurrir en precio por alcance entregado, nunca en USD/h.</t>
  </si>
  <si>
    <t xml:space="preserve">5. Método de estimación de horas</t>
  </si>
  <si>
    <t xml:space="preserve">Paso 1</t>
  </si>
  <si>
    <t xml:space="preserve">Sizing por iniciativa</t>
  </si>
  <si>
    <t xml:space="preserve">T-shirt sizing calibrado contra el churn real atribuido por ID en el mensaje de commit (113 commits parseados, ventana 20-jul a 10-ago).</t>
  </si>
  <si>
    <t xml:space="preserve">Paso 2</t>
  </si>
  <si>
    <t xml:space="preserve">Bandas aplicadas</t>
  </si>
  <si>
    <t xml:space="preserve">XS &lt;200 LOC = 8-12 h · S 200-500 = 16-24 h · M 500-1.200 = 32-40 h · L 1.200-2.500 = 48-56 h · XL 2.500-5.000 = 90-110 h · XXL &gt;5.000 = 130 h</t>
  </si>
  <si>
    <t xml:space="preserve">Paso 3</t>
  </si>
  <si>
    <t xml:space="preserve">Validación cruzada</t>
  </si>
  <si>
    <t xml:space="preserve">Productividad implícita ≈ 33 LOC/h sin IA, consistente entre MVP (924 h / 30.057 LOC) y post-MVP (1.360 h / 39.826 LOC).</t>
  </si>
  <si>
    <t xml:space="preserve">Paso 4</t>
  </si>
  <si>
    <t xml:space="preserve">Transversales</t>
  </si>
  <si>
    <t xml:space="preserve">QA automatizada, documentación, contratos de API y gestión se estiman aparte porque atraviesan todas las iniciativas.</t>
  </si>
  <si>
    <t xml:space="preserve">6. Supuestos que hay que validar</t>
  </si>
  <si>
    <t xml:space="preserve">Tarifa USD 45/h: si el comparador real que GHT tiene sobre la mesa es una fábrica pequeña (USD 35/h), lo entregado vale ~USD 56.000 y el margen de negociación se estrecha.</t>
  </si>
  <si>
    <t xml:space="preserve">Ajuste de IA -30%: si se asume que la fábrica comparable NO usa IA, lo entregado sube a ~USD 103.000. Si se asume adopción agresiva (-50%), baja a ~USD 51.000.</t>
  </si>
  <si>
    <t xml:space="preserve">Horas reales de GTA (360 h): inferidas de la cadencia de commits, NO de un timesheet. Es el supuesto más sensible del modelo y conviene sustentarlo antes de negociar.</t>
  </si>
  <si>
    <t xml:space="preserve">Las horas de fábrica miden COSTO DE REPOSICIÓN, no precio de venta. No deben presentarse a GHT como una factura.</t>
  </si>
  <si>
    <t xml:space="preserve">El backlog diferido asume el alcance especificado hoy; REQ-053 (multidioma) no tiene spec cerrada.</t>
  </si>
  <si>
    <t xml:space="preserve">7. Hallazgos de control en Seguimiento_Requerimientos.xlsx</t>
  </si>
  <si>
    <t xml:space="preserve">La hoja 'Estado' tiene 41 filas pero omite REQ-010 (Seguridad y guardrails), que sí está en 'Alcance inicial' y en el estado del 04-ago.</t>
  </si>
  <si>
    <t xml:space="preserve">12 iniciativas ya ejecutadas no tienen fila en 'Estado': D5, P-07, P-09, P-10, P-17, P-18, P-19, P-20, P-22, P-23, P-24, P-31/P-32.</t>
  </si>
  <si>
    <t xml:space="preserve">Colisión de ID: REQ-052 se usa para 'Manuales de parametrización' en la hoja Estado y para P-31 en el documento de estado del 06-ago.</t>
  </si>
  <si>
    <t xml:space="preserve">Las columnas Estimación (h), Horas reales, Tarifa/h y Valor estimado están vacías en las tres hojas de seguimiento.</t>
  </si>
  <si>
    <t xml:space="preserve">La hoja 'Resumen' reporta 40 iniciativas con 0 horas y USD 0 de valor: hoy el instrumento de control comercial no soporta ninguna factura.</t>
  </si>
  <si>
    <t xml:space="preserve">La carpeta Aprobaciones/ está vacía pese a 33 iniciativas ejecutadas, contra la regla del README ('nada se ejecuta sin estado Aprobado y evidencia').</t>
  </si>
  <si>
    <t xml:space="preserve">8. Fuentes web consultadas (agosto 2026)</t>
  </si>
  <si>
    <t xml:space="preserve">lemon.io — Software Developer Salary &amp; Hourly Rate in Colombia 2026 · https://lemon.io/rate-calculator/colombia/</t>
  </si>
  <si>
    <t xml:space="preserve">Kore BPO — Colombia Staffing Agency Pricing 2026 · https://korebpo.com/colombia-staffing-agency-pricing/</t>
  </si>
  <si>
    <t xml:space="preserve">Kore BPO — Nearshore Staffing Agency Pricing 2026 · https://korebpo.com/nearshore-staffing-agency-pricing/</t>
  </si>
  <si>
    <t xml:space="preserve">Curotec — LATAM Developer Hourly Rates 2026 · https://www.curotec.com/insights/latam-developer-hourly-rates-in-2025/</t>
  </si>
  <si>
    <t xml:space="preserve">Second Talent — AI Coding Assistant Productivity Gain Report 2026 · https://www.secondtalent.com/resources/ai-developer-productivity/</t>
  </si>
  <si>
    <t xml:space="preserve">Faros.ai — The AI Productivity Paradox Research Report · https://www.faros.ai/blog/ai-software-engineering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</si>
</sst>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%"/>
    <numFmt numFmtId="167" formatCode="\$#,##0.00"/>
    <numFmt numFmtId="168" formatCode="#,##0"/>
    <numFmt numFmtId="169" formatCode="0.0\x"/>
    <numFmt numFmtId="170" formatCode="0.00"/>
    <numFmt numFmtId="171" formatCode="#,##0.0"/>
    <numFmt numFmtId="172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20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7.75" hidden="false" customHeight="true" outlineLevel="0" collapsed="false">
      <c r="A6" s="4" t="s">
        <v>4</v>
      </c>
      <c r="B6" s="5" t="n">
        <v>45</v>
      </c>
      <c r="C6" s="6" t="s">
        <v>5</v>
      </c>
    </row>
    <row r="7" customFormat="false" ht="31.5" hidden="false" customHeight="true" outlineLevel="0" collapsed="false">
      <c r="A7" s="4" t="s">
        <v>6</v>
      </c>
      <c r="B7" s="7" t="n">
        <v>-0.3</v>
      </c>
      <c r="C7" s="6" t="s">
        <v>7</v>
      </c>
    </row>
    <row r="8" customFormat="false" ht="32.8" hidden="false" customHeight="false" outlineLevel="0" collapsed="false">
      <c r="A8" s="4" t="s">
        <v>8</v>
      </c>
      <c r="B8" s="8" t="n">
        <v>121.88</v>
      </c>
      <c r="C8" s="6" t="s">
        <v>9</v>
      </c>
    </row>
    <row r="9" customFormat="false" ht="22.35" hidden="false" customHeight="false" outlineLevel="0" collapsed="false">
      <c r="A9" s="4" t="s">
        <v>10</v>
      </c>
      <c r="B9" s="9" t="n">
        <v>160</v>
      </c>
      <c r="C9" s="6" t="s">
        <v>11</v>
      </c>
    </row>
    <row r="10" customFormat="false" ht="27.75" hidden="false" customHeight="true" outlineLevel="0" collapsed="false">
      <c r="A10" s="4" t="s">
        <v>12</v>
      </c>
      <c r="B10" s="9" t="n">
        <v>360</v>
      </c>
      <c r="C10" s="6" t="s">
        <v>13</v>
      </c>
    </row>
    <row r="12" customFormat="false" ht="15" hidden="false" customHeight="false" outlineLevel="0" collapsed="false">
      <c r="A12" s="3" t="s">
        <v>14</v>
      </c>
    </row>
    <row r="13" customFormat="false" ht="15" hidden="false" customHeight="false" outlineLevel="0" collapsed="false">
      <c r="A13" s="4" t="s">
        <v>15</v>
      </c>
      <c r="B13" s="10" t="n">
        <f aca="false">C23</f>
        <v>1598.8</v>
      </c>
    </row>
    <row r="14" customFormat="false" ht="15" hidden="false" customHeight="false" outlineLevel="0" collapsed="false">
      <c r="A14" s="4" t="s">
        <v>16</v>
      </c>
      <c r="B14" s="11" t="n">
        <f aca="false">B13/$B$10</f>
        <v>4.44111111111111</v>
      </c>
    </row>
    <row r="15" customFormat="false" ht="15" hidden="false" customHeight="false" outlineLevel="0" collapsed="false">
      <c r="A15" s="4" t="s">
        <v>17</v>
      </c>
      <c r="B15" s="12" t="n">
        <f aca="false">$B$8/B14</f>
        <v>27.4435826870153</v>
      </c>
      <c r="C15" s="2" t="s">
        <v>18</v>
      </c>
    </row>
    <row r="17" customFormat="false" ht="15" hidden="false" customHeight="false" outlineLevel="0" collapsed="false">
      <c r="A17" s="3" t="s">
        <v>19</v>
      </c>
    </row>
    <row r="18" customFormat="false" ht="15" hidden="false" customHeight="false" outlineLevel="0" collapsed="false">
      <c r="A18" s="2" t="s">
        <v>20</v>
      </c>
    </row>
    <row r="19" customFormat="false" ht="23.85" hidden="false" customHeight="false" outlineLevel="0" collapsed="false">
      <c r="A19" s="13" t="s">
        <v>21</v>
      </c>
      <c r="B19" s="13" t="s">
        <v>22</v>
      </c>
      <c r="C19" s="13" t="s">
        <v>23</v>
      </c>
      <c r="D19" s="13" t="s">
        <v>24</v>
      </c>
      <c r="E19" s="13" t="s">
        <v>25</v>
      </c>
    </row>
    <row r="20" customFormat="false" ht="15" hidden="false" customHeight="false" outlineLevel="0" collapsed="false">
      <c r="A20" s="14" t="s">
        <v>26</v>
      </c>
      <c r="B20" s="15" t="n">
        <f aca="false">'MVP base'!D19</f>
        <v>924</v>
      </c>
      <c r="C20" s="15" t="n">
        <f aca="false">B20*(1+$B$7)</f>
        <v>646.8</v>
      </c>
      <c r="D20" s="16" t="n">
        <f aca="false">C20*$B$6</f>
        <v>29106</v>
      </c>
      <c r="E20" s="17" t="n">
        <f aca="false">D20/$D$23</f>
        <v>0.404553415061296</v>
      </c>
    </row>
    <row r="21" customFormat="false" ht="15" hidden="false" customHeight="false" outlineLevel="0" collapsed="false">
      <c r="A21" s="14" t="s">
        <v>27</v>
      </c>
      <c r="B21" s="15" t="n">
        <f aca="false">'Resto ejecutado'!F52</f>
        <v>1360</v>
      </c>
      <c r="C21" s="15" t="n">
        <f aca="false">B21*(1+$B$7)</f>
        <v>952</v>
      </c>
      <c r="D21" s="16" t="n">
        <f aca="false">C21*$B$6</f>
        <v>42840</v>
      </c>
      <c r="E21" s="17" t="n">
        <f aca="false">D21/$D$23</f>
        <v>0.595446584938704</v>
      </c>
    </row>
    <row r="22" customFormat="false" ht="15" hidden="false" customHeight="false" outlineLevel="0" collapsed="false">
      <c r="A22" s="14" t="s">
        <v>28</v>
      </c>
      <c r="B22" s="15" t="n">
        <f aca="false">'Resto diferido'!D16</f>
        <v>566</v>
      </c>
      <c r="C22" s="15" t="n">
        <f aca="false">B22*(1+$B$7)</f>
        <v>396.2</v>
      </c>
      <c r="D22" s="16" t="n">
        <f aca="false">C22*$B$6</f>
        <v>17829</v>
      </c>
      <c r="E22" s="17" t="n">
        <f aca="false">D22/$D$23</f>
        <v>0.247810858143608</v>
      </c>
    </row>
    <row r="23" customFormat="false" ht="15" hidden="false" customHeight="false" outlineLevel="0" collapsed="false">
      <c r="A23" s="18" t="s">
        <v>29</v>
      </c>
      <c r="B23" s="19" t="n">
        <f aca="false">SUM(B20:B21)</f>
        <v>2284</v>
      </c>
      <c r="C23" s="19" t="n">
        <f aca="false">SUM(C20:C21)</f>
        <v>1598.8</v>
      </c>
      <c r="D23" s="20" t="n">
        <f aca="false">SUM(D20:D21)</f>
        <v>71946</v>
      </c>
      <c r="E23" s="21" t="n">
        <f aca="false">D23/D24</f>
        <v>0.80140350877193</v>
      </c>
    </row>
    <row r="24" customFormat="false" ht="15" hidden="false" customHeight="false" outlineLevel="0" collapsed="false">
      <c r="A24" s="18" t="s">
        <v>30</v>
      </c>
      <c r="B24" s="19" t="n">
        <f aca="false">SUM(B20:B22)</f>
        <v>2850</v>
      </c>
      <c r="C24" s="19" t="n">
        <f aca="false">SUM(C20:C22)</f>
        <v>1995</v>
      </c>
      <c r="D24" s="20" t="n">
        <f aca="false">SUM(D20:D22)</f>
        <v>89775</v>
      </c>
      <c r="E24" s="21" t="n">
        <v>1</v>
      </c>
    </row>
    <row r="26" customFormat="false" ht="15" hidden="false" customHeight="false" outlineLevel="0" collapsed="false">
      <c r="A26" s="3" t="s">
        <v>31</v>
      </c>
    </row>
    <row r="27" customFormat="false" ht="15" hidden="false" customHeight="false" outlineLevel="0" collapsed="false">
      <c r="A27" s="13" t="s">
        <v>32</v>
      </c>
      <c r="B27" s="13" t="s">
        <v>33</v>
      </c>
      <c r="C27" s="13" t="s">
        <v>34</v>
      </c>
      <c r="D27" s="13" t="s">
        <v>35</v>
      </c>
    </row>
    <row r="28" customFormat="false" ht="46.25" hidden="false" customHeight="false" outlineLevel="0" collapsed="false">
      <c r="A28" s="14" t="s">
        <v>36</v>
      </c>
      <c r="B28" s="22" t="n">
        <v>35</v>
      </c>
      <c r="C28" s="22" t="n">
        <f aca="false">$C$23*B28</f>
        <v>55958</v>
      </c>
      <c r="D28" s="14" t="s">
        <v>37</v>
      </c>
    </row>
    <row r="29" customFormat="false" ht="46.25" hidden="false" customHeight="false" outlineLevel="0" collapsed="false">
      <c r="A29" s="14" t="s">
        <v>38</v>
      </c>
      <c r="B29" s="22" t="n">
        <v>45</v>
      </c>
      <c r="C29" s="22" t="n">
        <f aca="false">$C$23*B29</f>
        <v>71946</v>
      </c>
      <c r="D29" s="14" t="s">
        <v>39</v>
      </c>
    </row>
    <row r="30" customFormat="false" ht="68.65" hidden="false" customHeight="false" outlineLevel="0" collapsed="false">
      <c r="A30" s="14" t="s">
        <v>40</v>
      </c>
      <c r="B30" s="22" t="n">
        <v>55</v>
      </c>
      <c r="C30" s="22" t="n">
        <f aca="false">$C$23*B30</f>
        <v>87934</v>
      </c>
      <c r="D30" s="14" t="s">
        <v>41</v>
      </c>
    </row>
    <row r="33" customFormat="false" ht="15" hidden="false" customHeight="false" outlineLevel="0" collapsed="false">
      <c r="A33" s="3" t="s">
        <v>42</v>
      </c>
    </row>
    <row r="34" customFormat="false" ht="15" hidden="false" customHeight="false" outlineLevel="0" collapsed="false">
      <c r="A34" s="13" t="s">
        <v>43</v>
      </c>
      <c r="B34" s="13" t="s">
        <v>44</v>
      </c>
      <c r="C34" s="13" t="s">
        <v>45</v>
      </c>
      <c r="D34" s="13" t="s">
        <v>46</v>
      </c>
      <c r="E34" s="13" t="s">
        <v>47</v>
      </c>
    </row>
    <row r="35" customFormat="false" ht="23.85" hidden="false" customHeight="false" outlineLevel="0" collapsed="false">
      <c r="A35" s="14" t="s">
        <v>48</v>
      </c>
      <c r="B35" s="15" t="n">
        <v>100</v>
      </c>
      <c r="C35" s="23" t="n">
        <f aca="false">B35/$B$9</f>
        <v>0.625</v>
      </c>
      <c r="D35" s="16" t="n">
        <f aca="false">B35*$B$8</f>
        <v>12188</v>
      </c>
      <c r="E35" s="14" t="s">
        <v>49</v>
      </c>
    </row>
    <row r="36" customFormat="false" ht="15" hidden="false" customHeight="false" outlineLevel="0" collapsed="false">
      <c r="A36" s="14" t="s">
        <v>50</v>
      </c>
      <c r="B36" s="15" t="n">
        <v>260</v>
      </c>
      <c r="C36" s="23" t="n">
        <f aca="false">B36/$B$9</f>
        <v>1.625</v>
      </c>
      <c r="D36" s="16" t="n">
        <f aca="false">B36*$B$8</f>
        <v>31688.8</v>
      </c>
      <c r="E36" s="24" t="s">
        <v>51</v>
      </c>
    </row>
    <row r="37" customFormat="false" ht="15" hidden="false" customHeight="false" outlineLevel="0" collapsed="false">
      <c r="A37" s="18" t="s">
        <v>52</v>
      </c>
      <c r="B37" s="19" t="n">
        <f aca="false">SUM(B35:B36)</f>
        <v>360</v>
      </c>
      <c r="C37" s="25" t="n">
        <f aca="false">SUM(C35:C36)</f>
        <v>2.25</v>
      </c>
      <c r="D37" s="20" t="n">
        <f aca="false">SUM(D35:D36)</f>
        <v>43876.8</v>
      </c>
      <c r="E37" s="26"/>
    </row>
    <row r="38" customFormat="false" ht="15" hidden="false" customHeight="false" outlineLevel="0" collapsed="false">
      <c r="A38" s="4" t="s">
        <v>53</v>
      </c>
      <c r="D38" s="27" t="n">
        <v>9750</v>
      </c>
    </row>
    <row r="39" customFormat="false" ht="15" hidden="false" customHeight="false" outlineLevel="0" collapsed="false">
      <c r="A39" s="28" t="s">
        <v>54</v>
      </c>
      <c r="D39" s="29" t="n">
        <f aca="false">D37-D38</f>
        <v>34126.8</v>
      </c>
    </row>
    <row r="41" customFormat="false" ht="15" hidden="false" customHeight="false" outlineLevel="0" collapsed="false">
      <c r="A41" s="3" t="s">
        <v>55</v>
      </c>
    </row>
    <row r="42" customFormat="false" ht="30" hidden="false" customHeight="true" outlineLevel="0" collapsed="false">
      <c r="A42" s="30" t="s">
        <v>56</v>
      </c>
      <c r="B42" s="30"/>
      <c r="C42" s="30"/>
      <c r="D42" s="30"/>
      <c r="E42" s="30"/>
    </row>
    <row r="43" customFormat="false" ht="30" hidden="false" customHeight="true" outlineLevel="0" collapsed="false">
      <c r="A43" s="30" t="s">
        <v>57</v>
      </c>
      <c r="B43" s="30"/>
      <c r="C43" s="30"/>
      <c r="D43" s="30"/>
      <c r="E43" s="30"/>
    </row>
    <row r="44" customFormat="false" ht="30" hidden="false" customHeight="true" outlineLevel="0" collapsed="false">
      <c r="A44" s="30" t="s">
        <v>58</v>
      </c>
      <c r="B44" s="30"/>
      <c r="C44" s="30"/>
      <c r="D44" s="30"/>
      <c r="E44" s="30"/>
    </row>
    <row r="45" customFormat="false" ht="30" hidden="false" customHeight="true" outlineLevel="0" collapsed="false">
      <c r="A45" s="30" t="s">
        <v>59</v>
      </c>
      <c r="B45" s="30"/>
      <c r="C45" s="30"/>
      <c r="D45" s="30"/>
      <c r="E45" s="30"/>
    </row>
    <row r="46" customFormat="false" ht="30" hidden="false" customHeight="true" outlineLevel="0" collapsed="false">
      <c r="A46" s="30" t="s">
        <v>60</v>
      </c>
      <c r="B46" s="30"/>
      <c r="C46" s="30"/>
      <c r="D46" s="30"/>
      <c r="E46" s="30"/>
    </row>
    <row r="47" customFormat="false" ht="30" hidden="false" customHeight="true" outlineLevel="0" collapsed="false">
      <c r="A47" s="30" t="s">
        <v>61</v>
      </c>
      <c r="B47" s="30"/>
      <c r="C47" s="30"/>
      <c r="D47" s="30"/>
      <c r="E47" s="30"/>
    </row>
  </sheetData>
  <mergeCells count="6">
    <mergeCell ref="A42:E42"/>
    <mergeCell ref="A43:E43"/>
    <mergeCell ref="A44:E44"/>
    <mergeCell ref="A45:E45"/>
    <mergeCell ref="A46:E46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30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3" t="s">
        <v>64</v>
      </c>
    </row>
    <row r="5" customFormat="false" ht="15" hidden="false" customHeight="false" outlineLevel="0" collapsed="false">
      <c r="A5" s="2" t="s">
        <v>65</v>
      </c>
    </row>
    <row r="6" customFormat="false" ht="15" hidden="false" customHeight="false" outlineLevel="0" collapsed="false">
      <c r="A6" s="13" t="s">
        <v>66</v>
      </c>
      <c r="B6" s="13" t="s">
        <v>67</v>
      </c>
      <c r="C6" s="13" t="s">
        <v>68</v>
      </c>
    </row>
    <row r="7" customFormat="false" ht="27.75" hidden="false" customHeight="true" outlineLevel="0" collapsed="false">
      <c r="A7" s="14" t="s">
        <v>69</v>
      </c>
      <c r="B7" s="14" t="s">
        <v>70</v>
      </c>
      <c r="C7" s="14" t="s">
        <v>71</v>
      </c>
    </row>
    <row r="8" customFormat="false" ht="27.75" hidden="false" customHeight="true" outlineLevel="0" collapsed="false">
      <c r="A8" s="14" t="s">
        <v>72</v>
      </c>
      <c r="B8" s="14" t="s">
        <v>73</v>
      </c>
      <c r="C8" s="14" t="s">
        <v>74</v>
      </c>
    </row>
    <row r="9" customFormat="false" ht="27.75" hidden="false" customHeight="true" outlineLevel="0" collapsed="false">
      <c r="A9" s="14" t="s">
        <v>75</v>
      </c>
      <c r="B9" s="14" t="s">
        <v>76</v>
      </c>
      <c r="C9" s="14" t="s">
        <v>77</v>
      </c>
    </row>
    <row r="10" customFormat="false" ht="27.75" hidden="false" customHeight="true" outlineLevel="0" collapsed="false">
      <c r="A10" s="14" t="s">
        <v>78</v>
      </c>
      <c r="B10" s="14" t="s">
        <v>79</v>
      </c>
      <c r="C10" s="14" t="s">
        <v>80</v>
      </c>
    </row>
    <row r="11" customFormat="false" ht="27.75" hidden="false" customHeight="true" outlineLevel="0" collapsed="false">
      <c r="A11" s="14" t="s">
        <v>81</v>
      </c>
      <c r="B11" s="14" t="s">
        <v>82</v>
      </c>
      <c r="C11" s="14" t="s">
        <v>83</v>
      </c>
    </row>
    <row r="13" customFormat="false" ht="15" hidden="false" customHeight="false" outlineLevel="0" collapsed="false">
      <c r="A13" s="3" t="s">
        <v>84</v>
      </c>
    </row>
    <row r="14" customFormat="false" ht="15" hidden="false" customHeight="false" outlineLevel="0" collapsed="false">
      <c r="A14" s="13" t="s">
        <v>85</v>
      </c>
      <c r="B14" s="13" t="s">
        <v>86</v>
      </c>
      <c r="C14" s="13" t="s">
        <v>87</v>
      </c>
      <c r="D14" s="13" t="s">
        <v>88</v>
      </c>
    </row>
    <row r="15" customFormat="false" ht="23.85" hidden="false" customHeight="false" outlineLevel="0" collapsed="false">
      <c r="A15" s="14" t="s">
        <v>89</v>
      </c>
      <c r="B15" s="31" t="s">
        <v>90</v>
      </c>
      <c r="C15" s="14" t="s">
        <v>91</v>
      </c>
      <c r="D15" s="32" t="s">
        <v>92</v>
      </c>
    </row>
    <row r="16" customFormat="false" ht="15" hidden="false" customHeight="false" outlineLevel="0" collapsed="false">
      <c r="A16" s="33" t="s">
        <v>93</v>
      </c>
      <c r="B16" s="34" t="s">
        <v>94</v>
      </c>
      <c r="C16" s="35" t="s">
        <v>95</v>
      </c>
      <c r="D16" s="36" t="s">
        <v>92</v>
      </c>
    </row>
    <row r="17" customFormat="false" ht="23.85" hidden="false" customHeight="false" outlineLevel="0" collapsed="false">
      <c r="A17" s="14" t="s">
        <v>96</v>
      </c>
      <c r="B17" s="31" t="s">
        <v>97</v>
      </c>
      <c r="C17" s="14" t="s">
        <v>98</v>
      </c>
      <c r="D17" s="32" t="s">
        <v>92</v>
      </c>
    </row>
    <row r="18" customFormat="false" ht="23.85" hidden="false" customHeight="false" outlineLevel="0" collapsed="false">
      <c r="A18" s="14" t="s">
        <v>99</v>
      </c>
      <c r="B18" s="31" t="s">
        <v>100</v>
      </c>
      <c r="C18" s="14" t="s">
        <v>101</v>
      </c>
      <c r="D18" s="32" t="s">
        <v>102</v>
      </c>
    </row>
    <row r="19" customFormat="false" ht="23.85" hidden="false" customHeight="false" outlineLevel="0" collapsed="false">
      <c r="A19" s="33" t="s">
        <v>103</v>
      </c>
      <c r="B19" s="34" t="s">
        <v>104</v>
      </c>
      <c r="C19" s="35" t="s">
        <v>105</v>
      </c>
      <c r="D19" s="36" t="s">
        <v>102</v>
      </c>
    </row>
    <row r="20" customFormat="false" ht="22.35" hidden="false" customHeight="false" outlineLevel="0" collapsed="false">
      <c r="A20" s="14" t="s">
        <v>106</v>
      </c>
      <c r="B20" s="31" t="s">
        <v>107</v>
      </c>
      <c r="C20" s="14" t="s">
        <v>108</v>
      </c>
      <c r="D20" s="32" t="s">
        <v>102</v>
      </c>
    </row>
    <row r="21" customFormat="false" ht="15" hidden="false" customHeight="false" outlineLevel="0" collapsed="false">
      <c r="A21" s="14" t="s">
        <v>109</v>
      </c>
      <c r="B21" s="31" t="s">
        <v>110</v>
      </c>
      <c r="C21" s="14" t="s">
        <v>111</v>
      </c>
      <c r="D21" s="32" t="s">
        <v>92</v>
      </c>
    </row>
    <row r="22" customFormat="false" ht="23.85" hidden="false" customHeight="false" outlineLevel="0" collapsed="false">
      <c r="A22" s="14" t="s">
        <v>112</v>
      </c>
      <c r="B22" s="31" t="s">
        <v>113</v>
      </c>
      <c r="C22" s="14" t="s">
        <v>114</v>
      </c>
      <c r="D22" s="32" t="s">
        <v>92</v>
      </c>
    </row>
    <row r="23" customFormat="false" ht="22.35" hidden="false" customHeight="false" outlineLevel="0" collapsed="false">
      <c r="A23" s="14" t="s">
        <v>115</v>
      </c>
      <c r="B23" s="31" t="s">
        <v>116</v>
      </c>
      <c r="C23" s="14" t="s">
        <v>117</v>
      </c>
      <c r="D23" s="32" t="s">
        <v>118</v>
      </c>
    </row>
    <row r="24" customFormat="false" ht="23.85" hidden="false" customHeight="false" outlineLevel="0" collapsed="false">
      <c r="A24" s="33" t="s">
        <v>119</v>
      </c>
      <c r="B24" s="34" t="s">
        <v>120</v>
      </c>
      <c r="C24" s="35" t="s">
        <v>121</v>
      </c>
      <c r="D24" s="36" t="s">
        <v>118</v>
      </c>
    </row>
    <row r="25" customFormat="false" ht="23.85" hidden="false" customHeight="false" outlineLevel="0" collapsed="false">
      <c r="A25" s="37" t="s">
        <v>122</v>
      </c>
      <c r="B25" s="37" t="s">
        <v>123</v>
      </c>
      <c r="C25" s="38" t="s">
        <v>124</v>
      </c>
      <c r="D25" s="39"/>
    </row>
    <row r="27" customFormat="false" ht="15" hidden="false" customHeight="false" outlineLevel="0" collapsed="false">
      <c r="A27" s="3" t="s">
        <v>125</v>
      </c>
    </row>
    <row r="28" customFormat="false" ht="15" hidden="false" customHeight="false" outlineLevel="0" collapsed="false">
      <c r="A28" s="2" t="s">
        <v>126</v>
      </c>
    </row>
    <row r="29" customFormat="false" ht="23.85" hidden="false" customHeight="false" outlineLevel="0" collapsed="false">
      <c r="A29" s="13" t="s">
        <v>127</v>
      </c>
      <c r="B29" s="13" t="s">
        <v>128</v>
      </c>
      <c r="C29" s="13" t="s">
        <v>129</v>
      </c>
      <c r="D29" s="13" t="s">
        <v>130</v>
      </c>
      <c r="E29" s="13" t="s">
        <v>131</v>
      </c>
    </row>
    <row r="30" customFormat="false" ht="25.5" hidden="false" customHeight="true" outlineLevel="0" collapsed="false">
      <c r="A30" s="14" t="s">
        <v>132</v>
      </c>
      <c r="B30" s="31" t="s">
        <v>133</v>
      </c>
      <c r="C30" s="14" t="s">
        <v>134</v>
      </c>
      <c r="D30" s="22" t="n">
        <v>30000</v>
      </c>
      <c r="E30" s="14" t="s">
        <v>135</v>
      </c>
    </row>
    <row r="31" customFormat="false" ht="25.5" hidden="false" customHeight="true" outlineLevel="0" collapsed="false">
      <c r="A31" s="14" t="s">
        <v>132</v>
      </c>
      <c r="B31" s="31" t="s">
        <v>136</v>
      </c>
      <c r="C31" s="14" t="s">
        <v>137</v>
      </c>
      <c r="D31" s="22" t="n">
        <v>30000</v>
      </c>
      <c r="E31" s="14" t="s">
        <v>138</v>
      </c>
    </row>
    <row r="32" customFormat="false" ht="25.5" hidden="false" customHeight="true" outlineLevel="0" collapsed="false">
      <c r="A32" s="14" t="s">
        <v>132</v>
      </c>
      <c r="B32" s="31" t="s">
        <v>139</v>
      </c>
      <c r="C32" s="14" t="s">
        <v>140</v>
      </c>
      <c r="D32" s="22" t="n">
        <v>8600</v>
      </c>
      <c r="E32" s="14" t="s">
        <v>141</v>
      </c>
    </row>
    <row r="33" customFormat="false" ht="25.5" hidden="false" customHeight="true" outlineLevel="0" collapsed="false">
      <c r="A33" s="14" t="s">
        <v>132</v>
      </c>
      <c r="B33" s="31" t="s">
        <v>142</v>
      </c>
      <c r="C33" s="14" t="s">
        <v>143</v>
      </c>
      <c r="D33" s="22" t="n">
        <v>12000</v>
      </c>
      <c r="E33" s="14" t="s">
        <v>144</v>
      </c>
    </row>
    <row r="34" customFormat="false" ht="25.5" hidden="false" customHeight="true" outlineLevel="0" collapsed="false">
      <c r="A34" s="14" t="s">
        <v>145</v>
      </c>
      <c r="B34" s="31" t="s">
        <v>146</v>
      </c>
      <c r="C34" s="14" t="s">
        <v>147</v>
      </c>
      <c r="D34" s="22" t="n">
        <v>60000</v>
      </c>
      <c r="E34" s="14" t="s">
        <v>148</v>
      </c>
    </row>
    <row r="35" customFormat="false" ht="25.5" hidden="false" customHeight="true" outlineLevel="0" collapsed="false">
      <c r="A35" s="14" t="s">
        <v>149</v>
      </c>
      <c r="B35" s="31" t="s">
        <v>150</v>
      </c>
      <c r="C35" s="14" t="s">
        <v>151</v>
      </c>
      <c r="D35" s="22" t="n">
        <v>36000</v>
      </c>
      <c r="E35" s="14" t="s">
        <v>152</v>
      </c>
    </row>
    <row r="36" customFormat="false" ht="25.5" hidden="false" customHeight="true" outlineLevel="0" collapsed="false">
      <c r="A36" s="14" t="s">
        <v>149</v>
      </c>
      <c r="B36" s="31" t="s">
        <v>153</v>
      </c>
      <c r="C36" s="14" t="s">
        <v>154</v>
      </c>
      <c r="D36" s="22" t="n">
        <v>30000</v>
      </c>
      <c r="E36" s="14" t="s">
        <v>155</v>
      </c>
    </row>
    <row r="37" customFormat="false" ht="25.5" hidden="false" customHeight="true" outlineLevel="0" collapsed="false">
      <c r="A37" s="14" t="s">
        <v>156</v>
      </c>
      <c r="B37" s="31" t="s">
        <v>157</v>
      </c>
      <c r="C37" s="14" t="s">
        <v>158</v>
      </c>
      <c r="D37" s="22" t="n">
        <v>25000</v>
      </c>
      <c r="E37" s="14" t="s">
        <v>159</v>
      </c>
    </row>
    <row r="38" customFormat="false" ht="25.5" hidden="false" customHeight="true" outlineLevel="0" collapsed="false">
      <c r="A38" s="14" t="s">
        <v>156</v>
      </c>
      <c r="B38" s="31" t="s">
        <v>160</v>
      </c>
      <c r="C38" s="14" t="s">
        <v>161</v>
      </c>
      <c r="D38" s="22" t="n">
        <v>4500</v>
      </c>
      <c r="E38" s="14" t="s">
        <v>162</v>
      </c>
    </row>
    <row r="39" customFormat="false" ht="25.5" hidden="false" customHeight="true" outlineLevel="0" collapsed="false">
      <c r="A39" s="14" t="s">
        <v>163</v>
      </c>
      <c r="B39" s="31" t="s">
        <v>164</v>
      </c>
      <c r="C39" s="14" t="s">
        <v>165</v>
      </c>
      <c r="D39" s="22" t="n">
        <v>18000</v>
      </c>
      <c r="E39" s="14" t="s">
        <v>166</v>
      </c>
    </row>
    <row r="40" customFormat="false" ht="25.5" hidden="false" customHeight="true" outlineLevel="0" collapsed="false">
      <c r="A40" s="14" t="s">
        <v>163</v>
      </c>
      <c r="B40" s="31" t="s">
        <v>167</v>
      </c>
      <c r="C40" s="14" t="s">
        <v>168</v>
      </c>
      <c r="D40" s="22" t="n">
        <v>6000</v>
      </c>
      <c r="E40" s="14" t="s">
        <v>169</v>
      </c>
    </row>
    <row r="41" customFormat="false" ht="30" hidden="false" customHeight="true" outlineLevel="0" collapsed="false">
      <c r="A41" s="24" t="s">
        <v>170</v>
      </c>
      <c r="B41" s="40" t="s">
        <v>171</v>
      </c>
      <c r="C41" s="41"/>
      <c r="D41" s="42" t="n">
        <f aca="false">D34+D35+D39</f>
        <v>114000</v>
      </c>
      <c r="E41" s="24" t="s">
        <v>172</v>
      </c>
    </row>
    <row r="42" customFormat="false" ht="15" hidden="false" customHeight="false" outlineLevel="0" collapsed="false">
      <c r="A42" s="43" t="s">
        <v>173</v>
      </c>
    </row>
    <row r="44" customFormat="false" ht="15" hidden="false" customHeight="false" outlineLevel="0" collapsed="false">
      <c r="A44" s="3" t="s">
        <v>174</v>
      </c>
    </row>
    <row r="45" customFormat="false" ht="23.85" hidden="false" customHeight="false" outlineLevel="0" collapsed="false">
      <c r="A45" s="13" t="s">
        <v>175</v>
      </c>
      <c r="B45" s="13" t="s">
        <v>176</v>
      </c>
      <c r="C45" s="13" t="s">
        <v>177</v>
      </c>
      <c r="D45" s="13" t="s">
        <v>178</v>
      </c>
      <c r="E45" s="13" t="s">
        <v>179</v>
      </c>
      <c r="F45" s="13" t="s">
        <v>180</v>
      </c>
    </row>
    <row r="46" customFormat="false" ht="15" hidden="false" customHeight="false" outlineLevel="0" collapsed="false">
      <c r="A46" s="44" t="s">
        <v>181</v>
      </c>
      <c r="B46" s="22" t="n">
        <v>10000</v>
      </c>
      <c r="C46" s="16" t="n">
        <f aca="false">D41</f>
        <v>114000</v>
      </c>
      <c r="D46" s="22" t="n">
        <f aca="false">B46+3*C46</f>
        <v>352000</v>
      </c>
      <c r="E46" s="45" t="s">
        <v>182</v>
      </c>
      <c r="F46" s="45" t="s">
        <v>182</v>
      </c>
    </row>
    <row r="47" customFormat="false" ht="15" hidden="false" customHeight="false" outlineLevel="0" collapsed="false">
      <c r="A47" s="44" t="s">
        <v>183</v>
      </c>
      <c r="B47" s="22" t="n">
        <v>100000</v>
      </c>
      <c r="C47" s="16" t="n">
        <f aca="false">B47*0.18</f>
        <v>18000</v>
      </c>
      <c r="D47" s="22" t="n">
        <f aca="false">B47+3*C47</f>
        <v>154000</v>
      </c>
      <c r="E47" s="45" t="s">
        <v>74</v>
      </c>
      <c r="F47" s="45" t="s">
        <v>74</v>
      </c>
    </row>
    <row r="48" customFormat="false" ht="15" hidden="false" customHeight="false" outlineLevel="0" collapsed="false">
      <c r="A48" s="44" t="s">
        <v>184</v>
      </c>
      <c r="B48" s="22" t="n">
        <v>150000</v>
      </c>
      <c r="C48" s="16" t="n">
        <f aca="false">B48*0.18</f>
        <v>27000</v>
      </c>
      <c r="D48" s="22" t="n">
        <f aca="false">B48+3*C48</f>
        <v>231000</v>
      </c>
      <c r="E48" s="45" t="s">
        <v>74</v>
      </c>
      <c r="F48" s="45" t="s">
        <v>74</v>
      </c>
    </row>
    <row r="49" customFormat="false" ht="23.85" hidden="false" customHeight="false" outlineLevel="0" collapsed="false">
      <c r="A49" s="35" t="s">
        <v>185</v>
      </c>
      <c r="B49" s="46" t="n">
        <f aca="false">'Propuesta facturación'!B36+'Resto diferido'!F18</f>
        <v>49510.0711764706</v>
      </c>
      <c r="C49" s="47" t="n">
        <f aca="false">3600</f>
        <v>3600</v>
      </c>
      <c r="D49" s="46" t="n">
        <f aca="false">B49+3*C49</f>
        <v>60310.0711764706</v>
      </c>
      <c r="E49" s="48" t="s">
        <v>74</v>
      </c>
      <c r="F49" s="48" t="s">
        <v>74</v>
      </c>
    </row>
    <row r="50" customFormat="false" ht="15" hidden="false" customHeight="false" outlineLevel="0" collapsed="false">
      <c r="A50" s="18" t="s">
        <v>186</v>
      </c>
      <c r="D50" s="20" t="n">
        <f aca="false">D46-D49</f>
        <v>291689.928823529</v>
      </c>
    </row>
    <row r="51" customFormat="false" ht="15" hidden="false" customHeight="false" outlineLevel="0" collapsed="false">
      <c r="A51" s="18" t="s">
        <v>187</v>
      </c>
      <c r="D51" s="20" t="n">
        <f aca="false">D47-D49</f>
        <v>93689.9288235294</v>
      </c>
    </row>
    <row r="52" customFormat="false" ht="15" hidden="false" customHeight="false" outlineLevel="0" collapsed="false">
      <c r="C52" s="2" t="s">
        <v>188</v>
      </c>
    </row>
    <row r="54" customFormat="false" ht="15" hidden="false" customHeight="false" outlineLevel="0" collapsed="false">
      <c r="A54" s="3" t="s">
        <v>189</v>
      </c>
    </row>
    <row r="55" customFormat="false" ht="15" hidden="false" customHeight="false" outlineLevel="0" collapsed="false">
      <c r="A55" s="13" t="s">
        <v>190</v>
      </c>
      <c r="B55" s="13" t="s">
        <v>191</v>
      </c>
      <c r="C55" s="13" t="s">
        <v>35</v>
      </c>
    </row>
    <row r="56" customFormat="false" ht="23.85" hidden="false" customHeight="false" outlineLevel="0" collapsed="false">
      <c r="A56" s="14" t="s">
        <v>192</v>
      </c>
      <c r="B56" s="22" t="n">
        <f aca="false">Resumen!D23</f>
        <v>71946</v>
      </c>
      <c r="C56" s="14" t="s">
        <v>193</v>
      </c>
    </row>
    <row r="57" customFormat="false" ht="23.85" hidden="false" customHeight="false" outlineLevel="0" collapsed="false">
      <c r="A57" s="14" t="s">
        <v>194</v>
      </c>
      <c r="B57" s="22" t="n">
        <f aca="false">Resumen!B23*Resumen!B6</f>
        <v>102780</v>
      </c>
      <c r="C57" s="14" t="s">
        <v>195</v>
      </c>
    </row>
    <row r="58" customFormat="false" ht="23.85" hidden="false" customHeight="false" outlineLevel="0" collapsed="false">
      <c r="A58" s="14" t="s">
        <v>196</v>
      </c>
      <c r="B58" s="22" t="n">
        <f aca="false">130000</f>
        <v>130000</v>
      </c>
      <c r="C58" s="14" t="s">
        <v>197</v>
      </c>
    </row>
    <row r="59" customFormat="false" ht="23.85" hidden="false" customHeight="false" outlineLevel="0" collapsed="false">
      <c r="A59" s="14" t="s">
        <v>198</v>
      </c>
      <c r="B59" s="22" t="n">
        <f aca="false">100000</f>
        <v>100000</v>
      </c>
      <c r="C59" s="14" t="s">
        <v>199</v>
      </c>
    </row>
    <row r="60" customFormat="false" ht="31.5" hidden="false" customHeight="true" outlineLevel="0" collapsed="false">
      <c r="A60" s="37" t="s">
        <v>200</v>
      </c>
      <c r="B60" s="39"/>
      <c r="C60" s="49" t="s">
        <v>201</v>
      </c>
    </row>
    <row r="62" customFormat="false" ht="15" hidden="false" customHeight="false" outlineLevel="0" collapsed="false">
      <c r="A62" s="3" t="s">
        <v>202</v>
      </c>
    </row>
    <row r="63" customFormat="false" ht="31.5" hidden="false" customHeight="true" outlineLevel="0" collapsed="false">
      <c r="A63" s="30" t="s">
        <v>203</v>
      </c>
      <c r="B63" s="30"/>
      <c r="C63" s="30"/>
      <c r="D63" s="30"/>
      <c r="E63" s="30"/>
      <c r="F63" s="30"/>
    </row>
    <row r="64" customFormat="false" ht="31.5" hidden="false" customHeight="true" outlineLevel="0" collapsed="false">
      <c r="A64" s="30" t="s">
        <v>204</v>
      </c>
      <c r="B64" s="30"/>
      <c r="C64" s="30"/>
      <c r="D64" s="30"/>
      <c r="E64" s="30"/>
      <c r="F64" s="30"/>
    </row>
    <row r="65" customFormat="false" ht="31.5" hidden="false" customHeight="true" outlineLevel="0" collapsed="false">
      <c r="A65" s="30" t="s">
        <v>205</v>
      </c>
      <c r="B65" s="30"/>
      <c r="C65" s="30"/>
      <c r="D65" s="30"/>
      <c r="E65" s="30"/>
      <c r="F65" s="30"/>
    </row>
    <row r="66" customFormat="false" ht="31.5" hidden="false" customHeight="true" outlineLevel="0" collapsed="false">
      <c r="A66" s="30" t="s">
        <v>206</v>
      </c>
      <c r="B66" s="30"/>
      <c r="C66" s="30"/>
      <c r="D66" s="30"/>
      <c r="E66" s="30"/>
      <c r="F66" s="30"/>
    </row>
    <row r="67" customFormat="false" ht="31.5" hidden="false" customHeight="true" outlineLevel="0" collapsed="false">
      <c r="A67" s="30" t="s">
        <v>207</v>
      </c>
      <c r="B67" s="30"/>
      <c r="C67" s="30"/>
      <c r="D67" s="30"/>
      <c r="E67" s="30"/>
      <c r="F67" s="30"/>
    </row>
    <row r="68" customFormat="false" ht="31.5" hidden="false" customHeight="true" outlineLevel="0" collapsed="false">
      <c r="A68" s="30" t="s">
        <v>208</v>
      </c>
      <c r="B68" s="30"/>
      <c r="C68" s="30"/>
      <c r="D68" s="30"/>
      <c r="E68" s="30"/>
      <c r="F68" s="30"/>
    </row>
    <row r="70" customFormat="false" ht="15" hidden="false" customHeight="false" outlineLevel="0" collapsed="false">
      <c r="A70" s="3" t="s">
        <v>209</v>
      </c>
    </row>
    <row r="71" customFormat="false" ht="15" hidden="false" customHeight="false" outlineLevel="0" collapsed="false">
      <c r="A71" s="4" t="s">
        <v>210</v>
      </c>
    </row>
    <row r="72" customFormat="false" ht="15" hidden="false" customHeight="false" outlineLevel="0" collapsed="false">
      <c r="A72" s="4" t="s">
        <v>211</v>
      </c>
    </row>
    <row r="73" customFormat="false" ht="15" hidden="false" customHeight="false" outlineLevel="0" collapsed="false">
      <c r="A73" s="4" t="s">
        <v>212</v>
      </c>
    </row>
    <row r="74" customFormat="false" ht="15" hidden="false" customHeight="false" outlineLevel="0" collapsed="false">
      <c r="A74" s="4" t="s">
        <v>213</v>
      </c>
    </row>
    <row r="75" customFormat="false" ht="15" hidden="false" customHeight="false" outlineLevel="0" collapsed="false">
      <c r="A75" s="4" t="s">
        <v>214</v>
      </c>
    </row>
    <row r="76" customFormat="false" ht="15" hidden="false" customHeight="false" outlineLevel="0" collapsed="false">
      <c r="A76" s="4" t="s">
        <v>215</v>
      </c>
    </row>
    <row r="77" customFormat="false" ht="15" hidden="false" customHeight="false" outlineLevel="0" collapsed="false">
      <c r="A77" s="4" t="s">
        <v>216</v>
      </c>
    </row>
    <row r="78" customFormat="false" ht="15" hidden="false" customHeight="false" outlineLevel="0" collapsed="false">
      <c r="A78" s="4" t="s">
        <v>217</v>
      </c>
    </row>
    <row r="79" customFormat="false" ht="15" hidden="false" customHeight="false" outlineLevel="0" collapsed="false">
      <c r="A79" s="4" t="s">
        <v>218</v>
      </c>
    </row>
    <row r="80" customFormat="false" ht="15" hidden="false" customHeight="false" outlineLevel="0" collapsed="false">
      <c r="A80" s="4" t="s">
        <v>219</v>
      </c>
    </row>
    <row r="81" customFormat="false" ht="15" hidden="false" customHeight="false" outlineLevel="0" collapsed="false">
      <c r="A81" s="4" t="s">
        <v>220</v>
      </c>
    </row>
    <row r="82" customFormat="false" ht="15" hidden="false" customHeight="false" outlineLevel="0" collapsed="false">
      <c r="A82" s="4" t="s">
        <v>221</v>
      </c>
    </row>
  </sheetData>
  <mergeCells count="6">
    <mergeCell ref="A63:F63"/>
    <mergeCell ref="A64:F64"/>
    <mergeCell ref="A65:F65"/>
    <mergeCell ref="A66:F66"/>
    <mergeCell ref="A67:F67"/>
    <mergeCell ref="A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2" t="s">
        <v>223</v>
      </c>
    </row>
    <row r="4" customFormat="false" ht="15" hidden="false" customHeight="false" outlineLevel="0" collapsed="false">
      <c r="A4" s="3" t="s">
        <v>224</v>
      </c>
    </row>
    <row r="5" customFormat="false" ht="23.85" hidden="false" customHeight="false" outlineLevel="0" collapsed="false">
      <c r="A5" s="13" t="s">
        <v>225</v>
      </c>
      <c r="B5" s="13" t="s">
        <v>22</v>
      </c>
      <c r="C5" s="13" t="s">
        <v>25</v>
      </c>
      <c r="D5" s="13" t="s">
        <v>44</v>
      </c>
      <c r="E5" s="13" t="s">
        <v>226</v>
      </c>
      <c r="F5" s="13" t="s">
        <v>227</v>
      </c>
    </row>
    <row r="6" customFormat="false" ht="30" hidden="false" customHeight="true" outlineLevel="0" collapsed="false">
      <c r="A6" s="14" t="s">
        <v>228</v>
      </c>
      <c r="B6" s="15" t="n">
        <v>570</v>
      </c>
      <c r="C6" s="17" t="n">
        <f aca="false">B6/$B$10</f>
        <v>0.419117647058824</v>
      </c>
      <c r="D6" s="50" t="n">
        <f aca="false">C6*$B$13</f>
        <v>108.970588235294</v>
      </c>
      <c r="E6" s="48" t="s">
        <v>74</v>
      </c>
      <c r="F6" s="14" t="s">
        <v>229</v>
      </c>
    </row>
    <row r="7" customFormat="false" ht="30" hidden="false" customHeight="true" outlineLevel="0" collapsed="false">
      <c r="A7" s="14" t="s">
        <v>230</v>
      </c>
      <c r="B7" s="15" t="n">
        <v>376</v>
      </c>
      <c r="C7" s="17" t="n">
        <f aca="false">B7/$B$10</f>
        <v>0.276470588235294</v>
      </c>
      <c r="D7" s="50" t="n">
        <f aca="false">C7*$B$13</f>
        <v>71.8823529411765</v>
      </c>
      <c r="E7" s="48" t="s">
        <v>74</v>
      </c>
      <c r="F7" s="14" t="s">
        <v>231</v>
      </c>
    </row>
    <row r="8" customFormat="false" ht="30" hidden="false" customHeight="true" outlineLevel="0" collapsed="false">
      <c r="A8" s="14" t="s">
        <v>232</v>
      </c>
      <c r="B8" s="15" t="n">
        <v>304</v>
      </c>
      <c r="C8" s="17" t="n">
        <f aca="false">B8/$B$10</f>
        <v>0.223529411764706</v>
      </c>
      <c r="D8" s="50" t="n">
        <f aca="false">C8*$B$13</f>
        <v>58.1176470588235</v>
      </c>
      <c r="E8" s="51" t="s">
        <v>182</v>
      </c>
      <c r="F8" s="14" t="s">
        <v>233</v>
      </c>
    </row>
    <row r="9" customFormat="false" ht="30" hidden="false" customHeight="true" outlineLevel="0" collapsed="false">
      <c r="A9" s="14" t="s">
        <v>234</v>
      </c>
      <c r="B9" s="15" t="n">
        <v>110</v>
      </c>
      <c r="C9" s="17" t="n">
        <f aca="false">B9/$B$10</f>
        <v>0.0808823529411765</v>
      </c>
      <c r="D9" s="50" t="n">
        <f aca="false">C9*$B$13</f>
        <v>21.0294117647059</v>
      </c>
      <c r="E9" s="48" t="s">
        <v>74</v>
      </c>
      <c r="F9" s="14" t="s">
        <v>235</v>
      </c>
    </row>
    <row r="10" customFormat="false" ht="15" hidden="false" customHeight="false" outlineLevel="0" collapsed="false">
      <c r="A10" s="18" t="s">
        <v>52</v>
      </c>
      <c r="B10" s="19" t="n">
        <f aca="false">SUM(B6:B9)</f>
        <v>1360</v>
      </c>
      <c r="C10" s="26"/>
      <c r="D10" s="19" t="n">
        <f aca="false">SUM(D6:D9)</f>
        <v>260</v>
      </c>
      <c r="E10" s="26"/>
      <c r="F10" s="26"/>
    </row>
    <row r="12" customFormat="false" ht="15" hidden="false" customHeight="false" outlineLevel="0" collapsed="false">
      <c r="A12" s="3" t="s">
        <v>236</v>
      </c>
    </row>
    <row r="13" customFormat="false" ht="15" hidden="false" customHeight="false" outlineLevel="0" collapsed="false">
      <c r="A13" s="4" t="s">
        <v>237</v>
      </c>
      <c r="B13" s="9" t="n">
        <v>260</v>
      </c>
      <c r="C13" s="2" t="s">
        <v>238</v>
      </c>
    </row>
    <row r="14" customFormat="false" ht="15" hidden="false" customHeight="false" outlineLevel="0" collapsed="false">
      <c r="A14" s="4" t="s">
        <v>239</v>
      </c>
      <c r="B14" s="52" t="n">
        <f aca="false">D6+D7+D9</f>
        <v>201.882352941177</v>
      </c>
    </row>
    <row r="15" customFormat="false" ht="15" hidden="false" customHeight="false" outlineLevel="0" collapsed="false">
      <c r="A15" s="4" t="s">
        <v>240</v>
      </c>
      <c r="B15" s="52" t="n">
        <f aca="false">D8</f>
        <v>58.1176470588235</v>
      </c>
    </row>
    <row r="16" customFormat="false" ht="15" hidden="false" customHeight="false" outlineLevel="0" collapsed="false">
      <c r="A16" s="4" t="s">
        <v>241</v>
      </c>
      <c r="B16" s="12" t="n">
        <f aca="false">Resumen!B8</f>
        <v>121.88</v>
      </c>
    </row>
    <row r="17" customFormat="false" ht="15" hidden="false" customHeight="false" outlineLevel="0" collapsed="false">
      <c r="A17" s="4" t="s">
        <v>242</v>
      </c>
      <c r="B17" s="53" t="n">
        <f aca="false">Resumen!D21</f>
        <v>42840</v>
      </c>
      <c r="C17" s="2" t="s">
        <v>243</v>
      </c>
    </row>
    <row r="19" customFormat="false" ht="15" hidden="false" customHeight="false" outlineLevel="0" collapsed="false">
      <c r="A19" s="3" t="s">
        <v>244</v>
      </c>
    </row>
    <row r="20" customFormat="false" ht="15" hidden="false" customHeight="false" outlineLevel="0" collapsed="false">
      <c r="A20" s="13" t="s">
        <v>245</v>
      </c>
      <c r="B20" s="13" t="s">
        <v>246</v>
      </c>
      <c r="C20" s="13" t="s">
        <v>46</v>
      </c>
      <c r="D20" s="13" t="s">
        <v>247</v>
      </c>
      <c r="E20" s="13" t="s">
        <v>248</v>
      </c>
      <c r="F20" s="13" t="s">
        <v>249</v>
      </c>
    </row>
    <row r="21" customFormat="false" ht="31.5" hidden="false" customHeight="true" outlineLevel="0" collapsed="false">
      <c r="A21" s="44" t="s">
        <v>250</v>
      </c>
      <c r="B21" s="14" t="s">
        <v>251</v>
      </c>
      <c r="C21" s="22" t="n">
        <f aca="false">B13*B16</f>
        <v>31688.8</v>
      </c>
      <c r="D21" s="54" t="n">
        <f aca="false">C21/9750</f>
        <v>3.25013333333333</v>
      </c>
      <c r="E21" s="17" t="n">
        <f aca="false">C21/$B$17</f>
        <v>0.739701213818861</v>
      </c>
      <c r="F21" s="14" t="s">
        <v>252</v>
      </c>
    </row>
    <row r="22" customFormat="false" ht="31.5" hidden="false" customHeight="true" outlineLevel="0" collapsed="false">
      <c r="A22" s="35" t="s">
        <v>253</v>
      </c>
      <c r="B22" s="33" t="s">
        <v>254</v>
      </c>
      <c r="C22" s="46" t="n">
        <f aca="false">B14*B16</f>
        <v>24605.4211764706</v>
      </c>
      <c r="D22" s="55" t="n">
        <f aca="false">C22/9750</f>
        <v>2.52363294117647</v>
      </c>
      <c r="E22" s="56" t="n">
        <f aca="false">C22/$B$17</f>
        <v>0.574356236612292</v>
      </c>
      <c r="F22" s="33" t="s">
        <v>255</v>
      </c>
    </row>
    <row r="23" customFormat="false" ht="31.5" hidden="false" customHeight="true" outlineLevel="0" collapsed="false">
      <c r="A23" s="44" t="s">
        <v>256</v>
      </c>
      <c r="B23" s="14" t="s">
        <v>257</v>
      </c>
      <c r="C23" s="22" t="n">
        <f aca="false">200*B16</f>
        <v>24376</v>
      </c>
      <c r="D23" s="54" t="n">
        <f aca="false">C23/9750</f>
        <v>2.50010256410256</v>
      </c>
      <c r="E23" s="17" t="n">
        <f aca="false">C23/$B$17</f>
        <v>0.569000933706816</v>
      </c>
      <c r="F23" s="14" t="s">
        <v>258</v>
      </c>
    </row>
    <row r="24" customFormat="false" ht="31.5" hidden="false" customHeight="true" outlineLevel="0" collapsed="false">
      <c r="A24" s="44" t="s">
        <v>259</v>
      </c>
      <c r="B24" s="14" t="s">
        <v>260</v>
      </c>
      <c r="C24" s="22" t="n">
        <f aca="false">160*B16</f>
        <v>19500.8</v>
      </c>
      <c r="D24" s="54" t="n">
        <f aca="false">C24/9750</f>
        <v>2.00008205128205</v>
      </c>
      <c r="E24" s="17" t="n">
        <f aca="false">C24/$B$17</f>
        <v>0.455200746965453</v>
      </c>
      <c r="F24" s="14" t="s">
        <v>261</v>
      </c>
    </row>
    <row r="26" customFormat="false" ht="15" hidden="false" customHeight="false" outlineLevel="0" collapsed="false">
      <c r="A26" s="3" t="s">
        <v>262</v>
      </c>
    </row>
    <row r="27" customFormat="false" ht="15" hidden="false" customHeight="false" outlineLevel="0" collapsed="false">
      <c r="A27" s="2" t="s">
        <v>263</v>
      </c>
    </row>
    <row r="28" customFormat="false" ht="15" hidden="false" customHeight="false" outlineLevel="0" collapsed="false">
      <c r="A28" s="44" t="s">
        <v>264</v>
      </c>
      <c r="B28" s="14" t="s">
        <v>265</v>
      </c>
      <c r="C28" s="22" t="n">
        <f aca="false">B14*B16</f>
        <v>24605.4211764706</v>
      </c>
    </row>
    <row r="29" customFormat="false" ht="23.85" hidden="false" customHeight="false" outlineLevel="0" collapsed="false">
      <c r="A29" s="44" t="s">
        <v>266</v>
      </c>
      <c r="B29" s="14" t="s">
        <v>267</v>
      </c>
      <c r="C29" s="22" t="n">
        <f aca="false">2.5*9750</f>
        <v>24375</v>
      </c>
    </row>
    <row r="30" customFormat="false" ht="15" hidden="false" customHeight="false" outlineLevel="0" collapsed="false">
      <c r="A30" s="44" t="s">
        <v>268</v>
      </c>
      <c r="B30" s="14" t="s">
        <v>269</v>
      </c>
      <c r="C30" s="22" t="n">
        <f aca="false">1.25*19500</f>
        <v>24375</v>
      </c>
    </row>
    <row r="31" customFormat="false" ht="15" hidden="false" customHeight="false" outlineLevel="0" collapsed="false">
      <c r="A31" s="44" t="s">
        <v>270</v>
      </c>
      <c r="B31" s="14" t="s">
        <v>271</v>
      </c>
      <c r="C31" s="22" t="n">
        <f aca="false">0.57*B17</f>
        <v>24418.8</v>
      </c>
    </row>
    <row r="33" customFormat="false" ht="15" hidden="false" customHeight="false" outlineLevel="0" collapsed="false">
      <c r="A33" s="3" t="s">
        <v>272</v>
      </c>
    </row>
    <row r="34" customFormat="false" ht="15" hidden="false" customHeight="false" outlineLevel="0" collapsed="false">
      <c r="A34" s="57" t="s">
        <v>273</v>
      </c>
      <c r="B34" s="53" t="n">
        <f aca="false">9750</f>
        <v>9750</v>
      </c>
    </row>
    <row r="35" customFormat="false" ht="15" hidden="false" customHeight="false" outlineLevel="0" collapsed="false">
      <c r="A35" s="57" t="s">
        <v>274</v>
      </c>
      <c r="B35" s="53" t="n">
        <f aca="false">C22</f>
        <v>24605.4211764706</v>
      </c>
    </row>
    <row r="36" customFormat="false" ht="15" hidden="false" customHeight="false" outlineLevel="0" collapsed="false">
      <c r="A36" s="18" t="s">
        <v>275</v>
      </c>
      <c r="B36" s="20" t="n">
        <f aca="false">B34+B35</f>
        <v>34355.4211764706</v>
      </c>
    </row>
    <row r="37" customFormat="false" ht="15" hidden="false" customHeight="false" outlineLevel="0" collapsed="false">
      <c r="A37" s="57" t="s">
        <v>276</v>
      </c>
      <c r="B37" s="53" t="n">
        <f aca="false">Resumen!D23</f>
        <v>71946</v>
      </c>
    </row>
    <row r="38" customFormat="false" ht="15" hidden="false" customHeight="false" outlineLevel="0" collapsed="false">
      <c r="A38" s="18" t="s">
        <v>277</v>
      </c>
      <c r="B38" s="20" t="n">
        <f aca="false">B37-B36</f>
        <v>37590.5788235294</v>
      </c>
    </row>
    <row r="39" customFormat="false" ht="15" hidden="false" customHeight="false" outlineLevel="0" collapsed="false">
      <c r="A39" s="57" t="s">
        <v>278</v>
      </c>
      <c r="B39" s="58" t="n">
        <f aca="false">B36/B37</f>
        <v>0.477516765024749</v>
      </c>
    </row>
    <row r="41" customFormat="false" ht="15" hidden="false" customHeight="false" outlineLevel="0" collapsed="false">
      <c r="A41" s="3" t="s">
        <v>279</v>
      </c>
    </row>
    <row r="42" customFormat="false" ht="30" hidden="false" customHeight="true" outlineLevel="0" collapsed="false">
      <c r="A42" s="30" t="s">
        <v>280</v>
      </c>
      <c r="B42" s="30"/>
      <c r="C42" s="30"/>
      <c r="D42" s="30"/>
      <c r="E42" s="30"/>
      <c r="F42" s="30"/>
    </row>
    <row r="43" customFormat="false" ht="30" hidden="false" customHeight="true" outlineLevel="0" collapsed="false">
      <c r="A43" s="30" t="s">
        <v>281</v>
      </c>
      <c r="B43" s="30"/>
      <c r="C43" s="30"/>
      <c r="D43" s="30"/>
      <c r="E43" s="30"/>
      <c r="F43" s="30"/>
    </row>
    <row r="44" customFormat="false" ht="30" hidden="false" customHeight="true" outlineLevel="0" collapsed="false">
      <c r="A44" s="30" t="s">
        <v>282</v>
      </c>
      <c r="B44" s="30"/>
      <c r="C44" s="30"/>
      <c r="D44" s="30"/>
      <c r="E44" s="30"/>
      <c r="F44" s="30"/>
    </row>
    <row r="45" customFormat="false" ht="30" hidden="false" customHeight="true" outlineLevel="0" collapsed="false">
      <c r="A45" s="30" t="s">
        <v>283</v>
      </c>
      <c r="B45" s="30"/>
      <c r="C45" s="30"/>
      <c r="D45" s="30"/>
      <c r="E45" s="30"/>
      <c r="F45" s="30"/>
    </row>
    <row r="46" customFormat="false" ht="30" hidden="false" customHeight="true" outlineLevel="0" collapsed="false">
      <c r="A46" s="30" t="s">
        <v>284</v>
      </c>
      <c r="B46" s="30"/>
      <c r="C46" s="30"/>
      <c r="D46" s="30"/>
      <c r="E46" s="30"/>
      <c r="F46" s="30"/>
    </row>
    <row r="47" customFormat="false" ht="30" hidden="false" customHeight="true" outlineLevel="0" collapsed="false">
      <c r="A47" s="30" t="s">
        <v>285</v>
      </c>
      <c r="B47" s="30"/>
      <c r="C47" s="30"/>
      <c r="D47" s="30"/>
      <c r="E47" s="30"/>
      <c r="F47" s="30"/>
    </row>
    <row r="48" customFormat="false" ht="30" hidden="false" customHeight="true" outlineLevel="0" collapsed="false">
      <c r="A48" s="30" t="s">
        <v>286</v>
      </c>
      <c r="B48" s="30"/>
      <c r="C48" s="30"/>
      <c r="D48" s="30"/>
      <c r="E48" s="30"/>
      <c r="F48" s="30"/>
    </row>
  </sheetData>
  <mergeCells count="7">
    <mergeCell ref="A42:F42"/>
    <mergeCell ref="A43:F43"/>
    <mergeCell ref="A44:F44"/>
    <mergeCell ref="A45:F45"/>
    <mergeCell ref="A46:F46"/>
    <mergeCell ref="A47:F47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5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287</v>
      </c>
    </row>
    <row r="2" customFormat="false" ht="15" hidden="false" customHeight="false" outlineLevel="0" collapsed="false">
      <c r="A2" s="2" t="s">
        <v>288</v>
      </c>
    </row>
    <row r="4" customFormat="false" ht="15" hidden="false" customHeight="false" outlineLevel="0" collapsed="false">
      <c r="A4" s="13" t="s">
        <v>289</v>
      </c>
      <c r="B4" s="13" t="s">
        <v>290</v>
      </c>
      <c r="C4" s="13" t="s">
        <v>291</v>
      </c>
      <c r="D4" s="13" t="s">
        <v>292</v>
      </c>
      <c r="E4" s="13" t="s">
        <v>293</v>
      </c>
      <c r="F4" s="13" t="s">
        <v>46</v>
      </c>
      <c r="G4" s="13" t="s">
        <v>294</v>
      </c>
    </row>
    <row r="5" customFormat="false" ht="23.85" hidden="false" customHeight="false" outlineLevel="0" collapsed="false">
      <c r="A5" s="31" t="s">
        <v>295</v>
      </c>
      <c r="B5" s="14" t="s">
        <v>296</v>
      </c>
      <c r="C5" s="14" t="s">
        <v>297</v>
      </c>
      <c r="D5" s="15" t="n">
        <v>90</v>
      </c>
      <c r="E5" s="50" t="n">
        <f aca="false">D5*(1+Resumen!$B$7)</f>
        <v>63</v>
      </c>
      <c r="F5" s="16" t="n">
        <f aca="false">E5*Resumen!$B$6</f>
        <v>2835</v>
      </c>
      <c r="G5" s="59" t="s">
        <v>298</v>
      </c>
    </row>
    <row r="6" customFormat="false" ht="23.85" hidden="false" customHeight="false" outlineLevel="0" collapsed="false">
      <c r="A6" s="31" t="s">
        <v>299</v>
      </c>
      <c r="B6" s="14" t="s">
        <v>300</v>
      </c>
      <c r="C6" s="14" t="s">
        <v>301</v>
      </c>
      <c r="D6" s="15" t="n">
        <v>40</v>
      </c>
      <c r="E6" s="50" t="n">
        <f aca="false">D6*(1+Resumen!$B$7)</f>
        <v>28</v>
      </c>
      <c r="F6" s="16" t="n">
        <f aca="false">E6*Resumen!$B$6</f>
        <v>1260</v>
      </c>
      <c r="G6" s="59" t="s">
        <v>302</v>
      </c>
    </row>
    <row r="7" customFormat="false" ht="23.85" hidden="false" customHeight="false" outlineLevel="0" collapsed="false">
      <c r="A7" s="31" t="s">
        <v>303</v>
      </c>
      <c r="B7" s="14" t="s">
        <v>304</v>
      </c>
      <c r="C7" s="14" t="s">
        <v>305</v>
      </c>
      <c r="D7" s="15" t="n">
        <v>30</v>
      </c>
      <c r="E7" s="50" t="n">
        <f aca="false">D7*(1+Resumen!$B$7)</f>
        <v>21</v>
      </c>
      <c r="F7" s="16" t="n">
        <f aca="false">E7*Resumen!$B$6</f>
        <v>945</v>
      </c>
      <c r="G7" s="59" t="s">
        <v>302</v>
      </c>
    </row>
    <row r="8" customFormat="false" ht="15" hidden="false" customHeight="false" outlineLevel="0" collapsed="false">
      <c r="A8" s="31" t="s">
        <v>306</v>
      </c>
      <c r="B8" s="14" t="s">
        <v>307</v>
      </c>
      <c r="C8" s="14" t="s">
        <v>308</v>
      </c>
      <c r="D8" s="15" t="n">
        <v>70</v>
      </c>
      <c r="E8" s="50" t="n">
        <f aca="false">D8*(1+Resumen!$B$7)</f>
        <v>49</v>
      </c>
      <c r="F8" s="16" t="n">
        <f aca="false">E8*Resumen!$B$6</f>
        <v>2205</v>
      </c>
      <c r="G8" s="59" t="s">
        <v>309</v>
      </c>
    </row>
    <row r="9" customFormat="false" ht="23.85" hidden="false" customHeight="false" outlineLevel="0" collapsed="false">
      <c r="A9" s="31" t="s">
        <v>310</v>
      </c>
      <c r="B9" s="14" t="s">
        <v>311</v>
      </c>
      <c r="C9" s="14" t="s">
        <v>312</v>
      </c>
      <c r="D9" s="15" t="n">
        <v>50</v>
      </c>
      <c r="E9" s="50" t="n">
        <f aca="false">D9*(1+Resumen!$B$7)</f>
        <v>35</v>
      </c>
      <c r="F9" s="16" t="n">
        <f aca="false">E9*Resumen!$B$6</f>
        <v>1575</v>
      </c>
      <c r="G9" s="59" t="s">
        <v>309</v>
      </c>
    </row>
    <row r="10" customFormat="false" ht="23.85" hidden="false" customHeight="false" outlineLevel="0" collapsed="false">
      <c r="A10" s="31" t="s">
        <v>313</v>
      </c>
      <c r="B10" s="14" t="s">
        <v>314</v>
      </c>
      <c r="C10" s="14" t="s">
        <v>315</v>
      </c>
      <c r="D10" s="15" t="n">
        <v>110</v>
      </c>
      <c r="E10" s="50" t="n">
        <f aca="false">D10*(1+Resumen!$B$7)</f>
        <v>77</v>
      </c>
      <c r="F10" s="16" t="n">
        <f aca="false">E10*Resumen!$B$6</f>
        <v>3465</v>
      </c>
      <c r="G10" s="59" t="s">
        <v>316</v>
      </c>
    </row>
    <row r="11" customFormat="false" ht="23.85" hidden="false" customHeight="false" outlineLevel="0" collapsed="false">
      <c r="A11" s="31" t="s">
        <v>317</v>
      </c>
      <c r="B11" s="14" t="s">
        <v>318</v>
      </c>
      <c r="C11" s="14" t="s">
        <v>319</v>
      </c>
      <c r="D11" s="15" t="n">
        <v>55</v>
      </c>
      <c r="E11" s="50" t="n">
        <f aca="false">D11*(1+Resumen!$B$7)</f>
        <v>38.5</v>
      </c>
      <c r="F11" s="16" t="n">
        <f aca="false">E11*Resumen!$B$6</f>
        <v>1732.5</v>
      </c>
      <c r="G11" s="59" t="s">
        <v>298</v>
      </c>
    </row>
    <row r="12" customFormat="false" ht="23.85" hidden="false" customHeight="false" outlineLevel="0" collapsed="false">
      <c r="A12" s="31" t="s">
        <v>320</v>
      </c>
      <c r="B12" s="14" t="s">
        <v>321</v>
      </c>
      <c r="C12" s="14" t="s">
        <v>322</v>
      </c>
      <c r="D12" s="15" t="n">
        <v>70</v>
      </c>
      <c r="E12" s="50" t="n">
        <f aca="false">D12*(1+Resumen!$B$7)</f>
        <v>49</v>
      </c>
      <c r="F12" s="16" t="n">
        <f aca="false">E12*Resumen!$B$6</f>
        <v>2205</v>
      </c>
      <c r="G12" s="59" t="s">
        <v>298</v>
      </c>
    </row>
    <row r="13" customFormat="false" ht="23.85" hidden="false" customHeight="false" outlineLevel="0" collapsed="false">
      <c r="A13" s="31" t="s">
        <v>323</v>
      </c>
      <c r="B13" s="14" t="s">
        <v>324</v>
      </c>
      <c r="C13" s="14" t="s">
        <v>325</v>
      </c>
      <c r="D13" s="15" t="n">
        <v>40</v>
      </c>
      <c r="E13" s="50" t="n">
        <f aca="false">D13*(1+Resumen!$B$7)</f>
        <v>28</v>
      </c>
      <c r="F13" s="16" t="n">
        <f aca="false">E13*Resumen!$B$6</f>
        <v>1260</v>
      </c>
      <c r="G13" s="59" t="s">
        <v>302</v>
      </c>
    </row>
    <row r="14" customFormat="false" ht="23.85" hidden="false" customHeight="false" outlineLevel="0" collapsed="false">
      <c r="A14" s="31" t="s">
        <v>326</v>
      </c>
      <c r="B14" s="14" t="s">
        <v>327</v>
      </c>
      <c r="C14" s="14" t="s">
        <v>328</v>
      </c>
      <c r="D14" s="15" t="n">
        <v>95</v>
      </c>
      <c r="E14" s="50" t="n">
        <f aca="false">D14*(1+Resumen!$B$7)</f>
        <v>66.5</v>
      </c>
      <c r="F14" s="16" t="n">
        <f aca="false">E14*Resumen!$B$6</f>
        <v>2992.5</v>
      </c>
      <c r="G14" s="59" t="s">
        <v>298</v>
      </c>
    </row>
    <row r="15" customFormat="false" ht="23.85" hidden="false" customHeight="false" outlineLevel="0" collapsed="false">
      <c r="A15" s="31" t="s">
        <v>329</v>
      </c>
      <c r="B15" s="14" t="s">
        <v>330</v>
      </c>
      <c r="C15" s="14" t="s">
        <v>331</v>
      </c>
      <c r="D15" s="15" t="n">
        <v>60</v>
      </c>
      <c r="E15" s="50" t="n">
        <f aca="false">D15*(1+Resumen!$B$7)</f>
        <v>42</v>
      </c>
      <c r="F15" s="16" t="n">
        <f aca="false">E15*Resumen!$B$6</f>
        <v>1890</v>
      </c>
      <c r="G15" s="59" t="s">
        <v>298</v>
      </c>
    </row>
    <row r="16" customFormat="false" ht="15" hidden="false" customHeight="false" outlineLevel="0" collapsed="false">
      <c r="B16" s="43" t="s">
        <v>332</v>
      </c>
      <c r="D16" s="19" t="n">
        <f aca="false">SUM(D5:D15)</f>
        <v>710</v>
      </c>
      <c r="E16" s="60" t="n">
        <f aca="false">SUM(E5:E15)</f>
        <v>497</v>
      </c>
      <c r="F16" s="20" t="n">
        <f aca="false">SUM(F5:F15)</f>
        <v>22365</v>
      </c>
    </row>
    <row r="17" customFormat="false" ht="23.85" hidden="false" customHeight="false" outlineLevel="0" collapsed="false">
      <c r="A17" s="31" t="s">
        <v>333</v>
      </c>
      <c r="B17" s="14" t="s">
        <v>334</v>
      </c>
      <c r="C17" s="14" t="s">
        <v>335</v>
      </c>
      <c r="D17" s="15" t="n">
        <v>90</v>
      </c>
      <c r="E17" s="50" t="n">
        <f aca="false">D17*(1+Resumen!$B$7)</f>
        <v>63</v>
      </c>
      <c r="F17" s="16" t="n">
        <f aca="false">E17*Resumen!$B$6</f>
        <v>2835</v>
      </c>
      <c r="G17" s="61"/>
    </row>
    <row r="18" customFormat="false" ht="23.85" hidden="false" customHeight="false" outlineLevel="0" collapsed="false">
      <c r="A18" s="31" t="s">
        <v>336</v>
      </c>
      <c r="B18" s="14" t="s">
        <v>337</v>
      </c>
      <c r="C18" s="14" t="s">
        <v>338</v>
      </c>
      <c r="D18" s="15" t="n">
        <v>124</v>
      </c>
      <c r="E18" s="50" t="n">
        <f aca="false">D18*(1+Resumen!$B$7)</f>
        <v>86.8</v>
      </c>
      <c r="F18" s="16" t="n">
        <f aca="false">E18*Resumen!$B$6</f>
        <v>3906</v>
      </c>
      <c r="G18" s="61"/>
    </row>
    <row r="19" customFormat="false" ht="15" hidden="false" customHeight="false" outlineLevel="0" collapsed="false">
      <c r="B19" s="62" t="s">
        <v>339</v>
      </c>
      <c r="D19" s="19" t="n">
        <f aca="false">D16+D17+D18</f>
        <v>924</v>
      </c>
      <c r="E19" s="60" t="n">
        <f aca="false">E16+E17+E18</f>
        <v>646.8</v>
      </c>
      <c r="F19" s="20" t="n">
        <f aca="false">F16+F17+F18</f>
        <v>29106</v>
      </c>
    </row>
    <row r="21" customFormat="false" ht="15" hidden="false" customHeight="false" outlineLevel="0" collapsed="false">
      <c r="B21" s="3" t="s">
        <v>340</v>
      </c>
    </row>
    <row r="22" customFormat="false" ht="15" hidden="false" customHeight="false" outlineLevel="0" collapsed="false">
      <c r="B22" s="4" t="s">
        <v>341</v>
      </c>
      <c r="F22" s="63" t="n">
        <v>9750</v>
      </c>
    </row>
    <row r="23" customFormat="false" ht="15" hidden="false" customHeight="false" outlineLevel="0" collapsed="false">
      <c r="B23" s="4" t="s">
        <v>342</v>
      </c>
      <c r="F23" s="64" t="n">
        <f aca="false">F22/F19</f>
        <v>0.334982477839621</v>
      </c>
    </row>
    <row r="24" customFormat="false" ht="15" hidden="false" customHeight="false" outlineLevel="0" collapsed="false">
      <c r="B24" s="4" t="s">
        <v>343</v>
      </c>
      <c r="F24" s="65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344</v>
      </c>
    </row>
    <row r="2" customFormat="false" ht="15" hidden="false" customHeight="false" outlineLevel="0" collapsed="false">
      <c r="A2" s="2" t="s">
        <v>345</v>
      </c>
    </row>
    <row r="4" customFormat="false" ht="23.85" hidden="false" customHeight="false" outlineLevel="0" collapsed="false">
      <c r="A4" s="13" t="s">
        <v>346</v>
      </c>
      <c r="B4" s="13" t="s">
        <v>347</v>
      </c>
      <c r="C4" s="13" t="s">
        <v>348</v>
      </c>
      <c r="D4" s="13" t="s">
        <v>349</v>
      </c>
      <c r="E4" s="13" t="s">
        <v>350</v>
      </c>
      <c r="F4" s="13" t="s">
        <v>292</v>
      </c>
      <c r="G4" s="13" t="s">
        <v>293</v>
      </c>
      <c r="H4" s="13" t="s">
        <v>46</v>
      </c>
      <c r="I4" s="13" t="s">
        <v>351</v>
      </c>
    </row>
    <row r="5" customFormat="false" ht="15" hidden="false" customHeight="false" outlineLevel="0" collapsed="false">
      <c r="A5" s="66" t="s">
        <v>352</v>
      </c>
      <c r="B5" s="66"/>
      <c r="C5" s="66"/>
      <c r="D5" s="66"/>
      <c r="E5" s="66"/>
      <c r="F5" s="66"/>
      <c r="G5" s="66"/>
      <c r="H5" s="66"/>
      <c r="I5" s="66"/>
    </row>
    <row r="6" customFormat="false" ht="23.85" hidden="false" customHeight="false" outlineLevel="0" collapsed="false">
      <c r="A6" s="31" t="s">
        <v>353</v>
      </c>
      <c r="B6" s="59" t="s">
        <v>354</v>
      </c>
      <c r="C6" s="14" t="s">
        <v>355</v>
      </c>
      <c r="D6" s="59" t="s">
        <v>356</v>
      </c>
      <c r="E6" s="15" t="n">
        <v>5012</v>
      </c>
      <c r="F6" s="15" t="n">
        <v>130</v>
      </c>
      <c r="G6" s="50" t="n">
        <f aca="false">F6*(1+Resumen!$B$7)</f>
        <v>91</v>
      </c>
      <c r="H6" s="16" t="n">
        <f aca="false">G6*Resumen!$B$6</f>
        <v>4095</v>
      </c>
      <c r="I6" s="14" t="s">
        <v>357</v>
      </c>
    </row>
    <row r="7" customFormat="false" ht="15" hidden="false" customHeight="false" outlineLevel="0" collapsed="false">
      <c r="A7" s="31" t="s">
        <v>358</v>
      </c>
      <c r="B7" s="59" t="s">
        <v>359</v>
      </c>
      <c r="C7" s="14" t="s">
        <v>360</v>
      </c>
      <c r="D7" s="59" t="s">
        <v>356</v>
      </c>
      <c r="E7" s="15" t="n">
        <v>1815</v>
      </c>
      <c r="F7" s="15" t="n">
        <v>56</v>
      </c>
      <c r="G7" s="50" t="n">
        <f aca="false">F7*(1+Resumen!$B$7)</f>
        <v>39.2</v>
      </c>
      <c r="H7" s="16" t="n">
        <f aca="false">G7*Resumen!$B$6</f>
        <v>1764</v>
      </c>
      <c r="I7" s="14" t="s">
        <v>361</v>
      </c>
    </row>
    <row r="8" customFormat="false" ht="23.85" hidden="false" customHeight="false" outlineLevel="0" collapsed="false">
      <c r="A8" s="31" t="s">
        <v>362</v>
      </c>
      <c r="B8" s="59" t="s">
        <v>363</v>
      </c>
      <c r="C8" s="14" t="s">
        <v>364</v>
      </c>
      <c r="D8" s="59" t="s">
        <v>356</v>
      </c>
      <c r="E8" s="15" t="n">
        <v>1888</v>
      </c>
      <c r="F8" s="15" t="n">
        <v>56</v>
      </c>
      <c r="G8" s="50" t="n">
        <f aca="false">F8*(1+Resumen!$B$7)</f>
        <v>39.2</v>
      </c>
      <c r="H8" s="16" t="n">
        <f aca="false">G8*Resumen!$B$6</f>
        <v>1764</v>
      </c>
      <c r="I8" s="14" t="s">
        <v>365</v>
      </c>
    </row>
    <row r="9" customFormat="false" ht="15" hidden="false" customHeight="false" outlineLevel="0" collapsed="false">
      <c r="A9" s="31" t="s">
        <v>366</v>
      </c>
      <c r="B9" s="59" t="s">
        <v>367</v>
      </c>
      <c r="C9" s="14" t="s">
        <v>368</v>
      </c>
      <c r="D9" s="59" t="s">
        <v>356</v>
      </c>
      <c r="E9" s="15" t="n">
        <v>1298</v>
      </c>
      <c r="F9" s="15" t="n">
        <v>56</v>
      </c>
      <c r="G9" s="50" t="n">
        <f aca="false">F9*(1+Resumen!$B$7)</f>
        <v>39.2</v>
      </c>
      <c r="H9" s="16" t="n">
        <f aca="false">G9*Resumen!$B$6</f>
        <v>1764</v>
      </c>
      <c r="I9" s="14" t="s">
        <v>369</v>
      </c>
    </row>
    <row r="10" customFormat="false" ht="23.85" hidden="false" customHeight="false" outlineLevel="0" collapsed="false">
      <c r="A10" s="31" t="s">
        <v>370</v>
      </c>
      <c r="B10" s="59" t="s">
        <v>371</v>
      </c>
      <c r="C10" s="14" t="s">
        <v>372</v>
      </c>
      <c r="D10" s="59" t="s">
        <v>356</v>
      </c>
      <c r="E10" s="15" t="n">
        <v>1060</v>
      </c>
      <c r="F10" s="15" t="n">
        <v>40</v>
      </c>
      <c r="G10" s="50" t="n">
        <f aca="false">F10*(1+Resumen!$B$7)</f>
        <v>28</v>
      </c>
      <c r="H10" s="16" t="n">
        <f aca="false">G10*Resumen!$B$6</f>
        <v>1260</v>
      </c>
      <c r="I10" s="14" t="s">
        <v>373</v>
      </c>
    </row>
    <row r="11" customFormat="false" ht="23.85" hidden="false" customHeight="false" outlineLevel="0" collapsed="false">
      <c r="A11" s="31" t="s">
        <v>374</v>
      </c>
      <c r="B11" s="59" t="s">
        <v>375</v>
      </c>
      <c r="C11" s="14" t="s">
        <v>376</v>
      </c>
      <c r="D11" s="59" t="s">
        <v>356</v>
      </c>
      <c r="E11" s="15" t="n">
        <v>253</v>
      </c>
      <c r="F11" s="15" t="n">
        <v>40</v>
      </c>
      <c r="G11" s="50" t="n">
        <f aca="false">F11*(1+Resumen!$B$7)</f>
        <v>28</v>
      </c>
      <c r="H11" s="16" t="n">
        <f aca="false">G11*Resumen!$B$6</f>
        <v>1260</v>
      </c>
      <c r="I11" s="14" t="s">
        <v>377</v>
      </c>
    </row>
    <row r="12" customFormat="false" ht="15" hidden="false" customHeight="false" outlineLevel="0" collapsed="false">
      <c r="A12" s="31" t="s">
        <v>378</v>
      </c>
      <c r="B12" s="59" t="s">
        <v>379</v>
      </c>
      <c r="C12" s="14" t="s">
        <v>380</v>
      </c>
      <c r="D12" s="59" t="s">
        <v>356</v>
      </c>
      <c r="E12" s="15" t="n">
        <v>1063</v>
      </c>
      <c r="F12" s="15" t="n">
        <v>32</v>
      </c>
      <c r="G12" s="50" t="n">
        <f aca="false">F12*(1+Resumen!$B$7)</f>
        <v>22.4</v>
      </c>
      <c r="H12" s="16" t="n">
        <f aca="false">G12*Resumen!$B$6</f>
        <v>1008</v>
      </c>
      <c r="I12" s="14" t="s">
        <v>381</v>
      </c>
    </row>
    <row r="13" customFormat="false" ht="15" hidden="false" customHeight="false" outlineLevel="0" collapsed="false">
      <c r="A13" s="31" t="s">
        <v>382</v>
      </c>
      <c r="B13" s="59" t="s">
        <v>383</v>
      </c>
      <c r="C13" s="14" t="s">
        <v>384</v>
      </c>
      <c r="D13" s="59" t="s">
        <v>356</v>
      </c>
      <c r="E13" s="15" t="s">
        <v>385</v>
      </c>
      <c r="F13" s="15" t="n">
        <v>32</v>
      </c>
      <c r="G13" s="50" t="n">
        <f aca="false">F13*(1+Resumen!$B$7)</f>
        <v>22.4</v>
      </c>
      <c r="H13" s="16" t="n">
        <f aca="false">G13*Resumen!$B$6</f>
        <v>1008</v>
      </c>
      <c r="I13" s="14" t="s">
        <v>386</v>
      </c>
    </row>
    <row r="14" customFormat="false" ht="15" hidden="false" customHeight="false" outlineLevel="0" collapsed="false">
      <c r="A14" s="31" t="s">
        <v>387</v>
      </c>
      <c r="B14" s="59" t="s">
        <v>388</v>
      </c>
      <c r="C14" s="14" t="s">
        <v>389</v>
      </c>
      <c r="D14" s="59" t="s">
        <v>356</v>
      </c>
      <c r="E14" s="15" t="n">
        <v>464</v>
      </c>
      <c r="F14" s="15" t="n">
        <v>24</v>
      </c>
      <c r="G14" s="50" t="n">
        <f aca="false">F14*(1+Resumen!$B$7)</f>
        <v>16.8</v>
      </c>
      <c r="H14" s="16" t="n">
        <f aca="false">G14*Resumen!$B$6</f>
        <v>756</v>
      </c>
      <c r="I14" s="14" t="s">
        <v>390</v>
      </c>
    </row>
    <row r="15" customFormat="false" ht="15" hidden="false" customHeight="false" outlineLevel="0" collapsed="false">
      <c r="A15" s="31" t="s">
        <v>391</v>
      </c>
      <c r="B15" s="59" t="s">
        <v>392</v>
      </c>
      <c r="C15" s="14" t="s">
        <v>393</v>
      </c>
      <c r="D15" s="59" t="s">
        <v>356</v>
      </c>
      <c r="E15" s="15" t="s">
        <v>385</v>
      </c>
      <c r="F15" s="15" t="n">
        <v>24</v>
      </c>
      <c r="G15" s="50" t="n">
        <f aca="false">F15*(1+Resumen!$B$7)</f>
        <v>16.8</v>
      </c>
      <c r="H15" s="16" t="n">
        <f aca="false">G15*Resumen!$B$6</f>
        <v>756</v>
      </c>
      <c r="I15" s="14" t="s">
        <v>394</v>
      </c>
    </row>
    <row r="16" customFormat="false" ht="15" hidden="false" customHeight="false" outlineLevel="0" collapsed="false">
      <c r="A16" s="31" t="s">
        <v>395</v>
      </c>
      <c r="B16" s="59" t="s">
        <v>396</v>
      </c>
      <c r="C16" s="14" t="s">
        <v>397</v>
      </c>
      <c r="D16" s="59" t="s">
        <v>356</v>
      </c>
      <c r="E16" s="15" t="n">
        <v>250</v>
      </c>
      <c r="F16" s="15" t="n">
        <v>24</v>
      </c>
      <c r="G16" s="50" t="n">
        <f aca="false">F16*(1+Resumen!$B$7)</f>
        <v>16.8</v>
      </c>
      <c r="H16" s="16" t="n">
        <f aca="false">G16*Resumen!$B$6</f>
        <v>756</v>
      </c>
      <c r="I16" s="14" t="s">
        <v>398</v>
      </c>
    </row>
    <row r="17" customFormat="false" ht="15" hidden="false" customHeight="false" outlineLevel="0" collapsed="false">
      <c r="A17" s="31" t="s">
        <v>399</v>
      </c>
      <c r="B17" s="59" t="s">
        <v>400</v>
      </c>
      <c r="C17" s="14" t="s">
        <v>401</v>
      </c>
      <c r="D17" s="59" t="s">
        <v>356</v>
      </c>
      <c r="E17" s="15" t="n">
        <v>202</v>
      </c>
      <c r="F17" s="15" t="n">
        <v>16</v>
      </c>
      <c r="G17" s="50" t="n">
        <f aca="false">F17*(1+Resumen!$B$7)</f>
        <v>11.2</v>
      </c>
      <c r="H17" s="16" t="n">
        <f aca="false">G17*Resumen!$B$6</f>
        <v>504</v>
      </c>
      <c r="I17" s="14" t="s">
        <v>402</v>
      </c>
    </row>
    <row r="18" customFormat="false" ht="15" hidden="false" customHeight="false" outlineLevel="0" collapsed="false">
      <c r="A18" s="31" t="s">
        <v>403</v>
      </c>
      <c r="B18" s="59" t="s">
        <v>404</v>
      </c>
      <c r="C18" s="14" t="s">
        <v>405</v>
      </c>
      <c r="D18" s="59" t="s">
        <v>356</v>
      </c>
      <c r="E18" s="15" t="n">
        <v>210</v>
      </c>
      <c r="F18" s="15" t="n">
        <v>16</v>
      </c>
      <c r="G18" s="50" t="n">
        <f aca="false">F18*(1+Resumen!$B$7)</f>
        <v>11.2</v>
      </c>
      <c r="H18" s="16" t="n">
        <f aca="false">G18*Resumen!$B$6</f>
        <v>504</v>
      </c>
      <c r="I18" s="14" t="s">
        <v>406</v>
      </c>
    </row>
    <row r="19" customFormat="false" ht="15" hidden="false" customHeight="false" outlineLevel="0" collapsed="false">
      <c r="A19" s="31" t="s">
        <v>407</v>
      </c>
      <c r="B19" s="59" t="s">
        <v>408</v>
      </c>
      <c r="C19" s="14" t="s">
        <v>409</v>
      </c>
      <c r="D19" s="59" t="s">
        <v>356</v>
      </c>
      <c r="E19" s="15" t="n">
        <v>283</v>
      </c>
      <c r="F19" s="15" t="n">
        <v>16</v>
      </c>
      <c r="G19" s="50" t="n">
        <f aca="false">F19*(1+Resumen!$B$7)</f>
        <v>11.2</v>
      </c>
      <c r="H19" s="16" t="n">
        <f aca="false">G19*Resumen!$B$6</f>
        <v>504</v>
      </c>
      <c r="I19" s="14" t="s">
        <v>410</v>
      </c>
    </row>
    <row r="20" customFormat="false" ht="15" hidden="false" customHeight="false" outlineLevel="0" collapsed="false">
      <c r="A20" s="31" t="s">
        <v>411</v>
      </c>
      <c r="B20" s="59" t="s">
        <v>412</v>
      </c>
      <c r="C20" s="14" t="s">
        <v>413</v>
      </c>
      <c r="D20" s="59" t="s">
        <v>356</v>
      </c>
      <c r="E20" s="15" t="s">
        <v>385</v>
      </c>
      <c r="F20" s="15" t="n">
        <v>8</v>
      </c>
      <c r="G20" s="50" t="n">
        <f aca="false">F20*(1+Resumen!$B$7)</f>
        <v>5.6</v>
      </c>
      <c r="H20" s="16" t="n">
        <f aca="false">G20*Resumen!$B$6</f>
        <v>252</v>
      </c>
      <c r="I20" s="14" t="s">
        <v>414</v>
      </c>
    </row>
    <row r="21" customFormat="false" ht="15" hidden="false" customHeight="false" outlineLevel="0" collapsed="false">
      <c r="C21" s="62" t="s">
        <v>415</v>
      </c>
      <c r="F21" s="19" t="n">
        <f aca="false">SUM(F6:F20)</f>
        <v>570</v>
      </c>
      <c r="G21" s="60" t="n">
        <f aca="false">SUM(G6:G20)</f>
        <v>399</v>
      </c>
      <c r="H21" s="20" t="n">
        <f aca="false">SUM(H6:H20)</f>
        <v>17955</v>
      </c>
    </row>
    <row r="23" customFormat="false" ht="15" hidden="false" customHeight="false" outlineLevel="0" collapsed="false">
      <c r="A23" s="66" t="s">
        <v>416</v>
      </c>
      <c r="B23" s="66"/>
      <c r="C23" s="66"/>
      <c r="D23" s="66"/>
      <c r="E23" s="66"/>
      <c r="F23" s="66"/>
      <c r="G23" s="66"/>
      <c r="H23" s="66"/>
      <c r="I23" s="66"/>
    </row>
    <row r="24" customFormat="false" ht="23.85" hidden="false" customHeight="false" outlineLevel="0" collapsed="false">
      <c r="A24" s="31" t="s">
        <v>417</v>
      </c>
      <c r="B24" s="59" t="s">
        <v>418</v>
      </c>
      <c r="C24" s="14" t="s">
        <v>419</v>
      </c>
      <c r="D24" s="59" t="s">
        <v>420</v>
      </c>
      <c r="E24" s="15" t="n">
        <v>4568</v>
      </c>
      <c r="F24" s="15" t="n">
        <v>110</v>
      </c>
      <c r="G24" s="50" t="n">
        <f aca="false">F24*(1+Resumen!$B$7)</f>
        <v>77</v>
      </c>
      <c r="H24" s="16" t="n">
        <f aca="false">G24*Resumen!$B$6</f>
        <v>3465</v>
      </c>
      <c r="I24" s="14" t="s">
        <v>421</v>
      </c>
    </row>
    <row r="25" customFormat="false" ht="23.85" hidden="false" customHeight="false" outlineLevel="0" collapsed="false">
      <c r="A25" s="31" t="s">
        <v>422</v>
      </c>
      <c r="B25" s="59" t="s">
        <v>423</v>
      </c>
      <c r="C25" s="14" t="s">
        <v>424</v>
      </c>
      <c r="D25" s="59" t="s">
        <v>425</v>
      </c>
      <c r="E25" s="15" t="n">
        <v>4900</v>
      </c>
      <c r="F25" s="15" t="n">
        <v>90</v>
      </c>
      <c r="G25" s="50" t="n">
        <f aca="false">F25*(1+Resumen!$B$7)</f>
        <v>63</v>
      </c>
      <c r="H25" s="16" t="n">
        <f aca="false">G25*Resumen!$B$6</f>
        <v>2835</v>
      </c>
      <c r="I25" s="14" t="s">
        <v>426</v>
      </c>
    </row>
    <row r="26" customFormat="false" ht="15" hidden="false" customHeight="false" outlineLevel="0" collapsed="false">
      <c r="A26" s="31" t="s">
        <v>427</v>
      </c>
      <c r="B26" s="59" t="s">
        <v>428</v>
      </c>
      <c r="C26" s="14" t="s">
        <v>429</v>
      </c>
      <c r="D26" s="59" t="s">
        <v>425</v>
      </c>
      <c r="E26" s="15" t="n">
        <v>1493</v>
      </c>
      <c r="F26" s="15" t="n">
        <v>56</v>
      </c>
      <c r="G26" s="50" t="n">
        <f aca="false">F26*(1+Resumen!$B$7)</f>
        <v>39.2</v>
      </c>
      <c r="H26" s="16" t="n">
        <f aca="false">G26*Resumen!$B$6</f>
        <v>1764</v>
      </c>
      <c r="I26" s="14" t="s">
        <v>430</v>
      </c>
    </row>
    <row r="27" customFormat="false" ht="15" hidden="false" customHeight="false" outlineLevel="0" collapsed="false">
      <c r="A27" s="31" t="s">
        <v>431</v>
      </c>
      <c r="B27" s="59" t="s">
        <v>432</v>
      </c>
      <c r="C27" s="14" t="s">
        <v>433</v>
      </c>
      <c r="D27" s="59" t="s">
        <v>425</v>
      </c>
      <c r="E27" s="15" t="s">
        <v>385</v>
      </c>
      <c r="F27" s="15" t="n">
        <v>48</v>
      </c>
      <c r="G27" s="50" t="n">
        <f aca="false">F27*(1+Resumen!$B$7)</f>
        <v>33.6</v>
      </c>
      <c r="H27" s="16" t="n">
        <f aca="false">G27*Resumen!$B$6</f>
        <v>1512</v>
      </c>
      <c r="I27" s="14" t="s">
        <v>434</v>
      </c>
    </row>
    <row r="28" customFormat="false" ht="15" hidden="false" customHeight="false" outlineLevel="0" collapsed="false">
      <c r="A28" s="31" t="s">
        <v>435</v>
      </c>
      <c r="B28" s="59" t="s">
        <v>436</v>
      </c>
      <c r="C28" s="14" t="s">
        <v>437</v>
      </c>
      <c r="D28" s="59" t="s">
        <v>425</v>
      </c>
      <c r="E28" s="15" t="n">
        <v>899</v>
      </c>
      <c r="F28" s="15" t="n">
        <v>40</v>
      </c>
      <c r="G28" s="50" t="n">
        <f aca="false">F28*(1+Resumen!$B$7)</f>
        <v>28</v>
      </c>
      <c r="H28" s="16" t="n">
        <f aca="false">G28*Resumen!$B$6</f>
        <v>1260</v>
      </c>
      <c r="I28" s="14" t="s">
        <v>438</v>
      </c>
    </row>
    <row r="29" customFormat="false" ht="15" hidden="false" customHeight="false" outlineLevel="0" collapsed="false">
      <c r="A29" s="31" t="s">
        <v>439</v>
      </c>
      <c r="B29" s="59" t="s">
        <v>440</v>
      </c>
      <c r="C29" s="14" t="s">
        <v>441</v>
      </c>
      <c r="D29" s="59" t="s">
        <v>425</v>
      </c>
      <c r="E29" s="15" t="n">
        <v>875</v>
      </c>
      <c r="F29" s="15" t="n">
        <v>32</v>
      </c>
      <c r="G29" s="50" t="n">
        <f aca="false">F29*(1+Resumen!$B$7)</f>
        <v>22.4</v>
      </c>
      <c r="H29" s="16" t="n">
        <f aca="false">G29*Resumen!$B$6</f>
        <v>1008</v>
      </c>
      <c r="I29" s="14" t="s">
        <v>442</v>
      </c>
    </row>
    <row r="30" customFormat="false" ht="15" hidden="false" customHeight="false" outlineLevel="0" collapsed="false">
      <c r="C30" s="62" t="s">
        <v>415</v>
      </c>
      <c r="F30" s="19" t="n">
        <f aca="false">SUM(F24:F29)</f>
        <v>376</v>
      </c>
      <c r="G30" s="60" t="n">
        <f aca="false">SUM(G24:G29)</f>
        <v>263.2</v>
      </c>
      <c r="H30" s="20" t="n">
        <f aca="false">SUM(H24:H29)</f>
        <v>11844</v>
      </c>
    </row>
    <row r="32" customFormat="false" ht="15" hidden="false" customHeight="false" outlineLevel="0" collapsed="false">
      <c r="A32" s="66" t="s">
        <v>443</v>
      </c>
      <c r="B32" s="66"/>
      <c r="C32" s="66"/>
      <c r="D32" s="66"/>
      <c r="E32" s="66"/>
      <c r="F32" s="66"/>
      <c r="G32" s="66"/>
      <c r="H32" s="66"/>
      <c r="I32" s="66"/>
    </row>
    <row r="33" customFormat="false" ht="15" hidden="false" customHeight="false" outlineLevel="0" collapsed="false">
      <c r="A33" s="31" t="s">
        <v>444</v>
      </c>
      <c r="B33" s="59" t="s">
        <v>445</v>
      </c>
      <c r="C33" s="14" t="s">
        <v>446</v>
      </c>
      <c r="D33" s="67" t="s">
        <v>447</v>
      </c>
      <c r="E33" s="15" t="n">
        <v>2708</v>
      </c>
      <c r="F33" s="15" t="n">
        <v>56</v>
      </c>
      <c r="G33" s="50" t="n">
        <f aca="false">F33*(1+Resumen!$B$7)</f>
        <v>39.2</v>
      </c>
      <c r="H33" s="16" t="n">
        <f aca="false">G33*Resumen!$B$6</f>
        <v>1764</v>
      </c>
      <c r="I33" s="14" t="s">
        <v>448</v>
      </c>
    </row>
    <row r="34" customFormat="false" ht="23.85" hidden="false" customHeight="false" outlineLevel="0" collapsed="false">
      <c r="A34" s="31" t="s">
        <v>449</v>
      </c>
      <c r="B34" s="59" t="s">
        <v>450</v>
      </c>
      <c r="C34" s="14" t="s">
        <v>451</v>
      </c>
      <c r="D34" s="67" t="s">
        <v>447</v>
      </c>
      <c r="E34" s="15" t="s">
        <v>385</v>
      </c>
      <c r="F34" s="15" t="n">
        <v>40</v>
      </c>
      <c r="G34" s="50" t="n">
        <f aca="false">F34*(1+Resumen!$B$7)</f>
        <v>28</v>
      </c>
      <c r="H34" s="16" t="n">
        <f aca="false">G34*Resumen!$B$6</f>
        <v>1260</v>
      </c>
      <c r="I34" s="14" t="s">
        <v>452</v>
      </c>
    </row>
    <row r="35" customFormat="false" ht="15" hidden="false" customHeight="false" outlineLevel="0" collapsed="false">
      <c r="A35" s="31" t="s">
        <v>453</v>
      </c>
      <c r="B35" s="59" t="s">
        <v>454</v>
      </c>
      <c r="C35" s="14" t="s">
        <v>455</v>
      </c>
      <c r="D35" s="67" t="s">
        <v>447</v>
      </c>
      <c r="E35" s="15" t="s">
        <v>385</v>
      </c>
      <c r="F35" s="15" t="n">
        <v>40</v>
      </c>
      <c r="G35" s="50" t="n">
        <f aca="false">F35*(1+Resumen!$B$7)</f>
        <v>28</v>
      </c>
      <c r="H35" s="16" t="n">
        <f aca="false">G35*Resumen!$B$6</f>
        <v>1260</v>
      </c>
      <c r="I35" s="14" t="s">
        <v>456</v>
      </c>
    </row>
    <row r="36" customFormat="false" ht="23.85" hidden="false" customHeight="false" outlineLevel="0" collapsed="false">
      <c r="A36" s="31" t="s">
        <v>457</v>
      </c>
      <c r="B36" s="59" t="s">
        <v>445</v>
      </c>
      <c r="C36" s="14" t="s">
        <v>458</v>
      </c>
      <c r="D36" s="67" t="s">
        <v>447</v>
      </c>
      <c r="E36" s="15" t="n">
        <v>438</v>
      </c>
      <c r="F36" s="15" t="n">
        <v>32</v>
      </c>
      <c r="G36" s="50" t="n">
        <f aca="false">F36*(1+Resumen!$B$7)</f>
        <v>22.4</v>
      </c>
      <c r="H36" s="16" t="n">
        <f aca="false">G36*Resumen!$B$6</f>
        <v>1008</v>
      </c>
      <c r="I36" s="14" t="s">
        <v>459</v>
      </c>
    </row>
    <row r="37" customFormat="false" ht="15" hidden="false" customHeight="false" outlineLevel="0" collapsed="false">
      <c r="A37" s="31" t="s">
        <v>460</v>
      </c>
      <c r="B37" s="59" t="s">
        <v>461</v>
      </c>
      <c r="C37" s="14" t="s">
        <v>462</v>
      </c>
      <c r="D37" s="67" t="s">
        <v>447</v>
      </c>
      <c r="E37" s="15" t="s">
        <v>385</v>
      </c>
      <c r="F37" s="15" t="n">
        <v>24</v>
      </c>
      <c r="G37" s="50" t="n">
        <f aca="false">F37*(1+Resumen!$B$7)</f>
        <v>16.8</v>
      </c>
      <c r="H37" s="16" t="n">
        <f aca="false">G37*Resumen!$B$6</f>
        <v>756</v>
      </c>
      <c r="I37" s="14" t="s">
        <v>463</v>
      </c>
    </row>
    <row r="38" customFormat="false" ht="15" hidden="false" customHeight="false" outlineLevel="0" collapsed="false">
      <c r="A38" s="31" t="s">
        <v>464</v>
      </c>
      <c r="B38" s="59" t="s">
        <v>465</v>
      </c>
      <c r="C38" s="14" t="s">
        <v>466</v>
      </c>
      <c r="D38" s="67" t="s">
        <v>447</v>
      </c>
      <c r="E38" s="15" t="s">
        <v>385</v>
      </c>
      <c r="F38" s="15" t="n">
        <v>24</v>
      </c>
      <c r="G38" s="50" t="n">
        <f aca="false">F38*(1+Resumen!$B$7)</f>
        <v>16.8</v>
      </c>
      <c r="H38" s="16" t="n">
        <f aca="false">G38*Resumen!$B$6</f>
        <v>756</v>
      </c>
      <c r="I38" s="14" t="s">
        <v>467</v>
      </c>
    </row>
    <row r="39" customFormat="false" ht="15" hidden="false" customHeight="false" outlineLevel="0" collapsed="false">
      <c r="A39" s="31" t="s">
        <v>468</v>
      </c>
      <c r="B39" s="59" t="s">
        <v>469</v>
      </c>
      <c r="C39" s="14" t="s">
        <v>470</v>
      </c>
      <c r="D39" s="67" t="s">
        <v>447</v>
      </c>
      <c r="E39" s="15" t="n">
        <v>500</v>
      </c>
      <c r="F39" s="15" t="n">
        <v>20</v>
      </c>
      <c r="G39" s="50" t="n">
        <f aca="false">F39*(1+Resumen!$B$7)</f>
        <v>14</v>
      </c>
      <c r="H39" s="16" t="n">
        <f aca="false">G39*Resumen!$B$6</f>
        <v>630</v>
      </c>
      <c r="I39" s="14" t="s">
        <v>471</v>
      </c>
    </row>
    <row r="40" customFormat="false" ht="15" hidden="false" customHeight="false" outlineLevel="0" collapsed="false">
      <c r="A40" s="31" t="s">
        <v>472</v>
      </c>
      <c r="B40" s="59" t="s">
        <v>473</v>
      </c>
      <c r="C40" s="14" t="s">
        <v>474</v>
      </c>
      <c r="D40" s="67" t="s">
        <v>447</v>
      </c>
      <c r="E40" s="15" t="n">
        <v>121</v>
      </c>
      <c r="F40" s="15" t="n">
        <v>16</v>
      </c>
      <c r="G40" s="50" t="n">
        <f aca="false">F40*(1+Resumen!$B$7)</f>
        <v>11.2</v>
      </c>
      <c r="H40" s="16" t="n">
        <f aca="false">G40*Resumen!$B$6</f>
        <v>504</v>
      </c>
      <c r="I40" s="14" t="s">
        <v>475</v>
      </c>
    </row>
    <row r="41" customFormat="false" ht="15" hidden="false" customHeight="false" outlineLevel="0" collapsed="false">
      <c r="A41" s="31" t="s">
        <v>476</v>
      </c>
      <c r="B41" s="59" t="s">
        <v>477</v>
      </c>
      <c r="C41" s="14" t="s">
        <v>478</v>
      </c>
      <c r="D41" s="67" t="s">
        <v>447</v>
      </c>
      <c r="E41" s="15" t="n">
        <v>365</v>
      </c>
      <c r="F41" s="15" t="n">
        <v>16</v>
      </c>
      <c r="G41" s="50" t="n">
        <f aca="false">F41*(1+Resumen!$B$7)</f>
        <v>11.2</v>
      </c>
      <c r="H41" s="16" t="n">
        <f aca="false">G41*Resumen!$B$6</f>
        <v>504</v>
      </c>
      <c r="I41" s="14" t="s">
        <v>479</v>
      </c>
    </row>
    <row r="42" customFormat="false" ht="15" hidden="false" customHeight="false" outlineLevel="0" collapsed="false">
      <c r="A42" s="31" t="s">
        <v>480</v>
      </c>
      <c r="B42" s="59" t="s">
        <v>481</v>
      </c>
      <c r="C42" s="14" t="s">
        <v>482</v>
      </c>
      <c r="D42" s="67" t="s">
        <v>447</v>
      </c>
      <c r="E42" s="15" t="n">
        <v>164</v>
      </c>
      <c r="F42" s="15" t="n">
        <v>12</v>
      </c>
      <c r="G42" s="50" t="n">
        <f aca="false">F42*(1+Resumen!$B$7)</f>
        <v>8.4</v>
      </c>
      <c r="H42" s="16" t="n">
        <f aca="false">G42*Resumen!$B$6</f>
        <v>378</v>
      </c>
      <c r="I42" s="14" t="s">
        <v>483</v>
      </c>
    </row>
    <row r="43" customFormat="false" ht="15" hidden="false" customHeight="false" outlineLevel="0" collapsed="false">
      <c r="A43" s="31" t="s">
        <v>484</v>
      </c>
      <c r="B43" s="59" t="s">
        <v>485</v>
      </c>
      <c r="C43" s="14" t="s">
        <v>486</v>
      </c>
      <c r="D43" s="67" t="s">
        <v>447</v>
      </c>
      <c r="E43" s="15" t="n">
        <v>176</v>
      </c>
      <c r="F43" s="15" t="n">
        <v>12</v>
      </c>
      <c r="G43" s="50" t="n">
        <f aca="false">F43*(1+Resumen!$B$7)</f>
        <v>8.4</v>
      </c>
      <c r="H43" s="16" t="n">
        <f aca="false">G43*Resumen!$B$6</f>
        <v>378</v>
      </c>
      <c r="I43" s="14" t="s">
        <v>487</v>
      </c>
    </row>
    <row r="44" customFormat="false" ht="15" hidden="false" customHeight="false" outlineLevel="0" collapsed="false">
      <c r="A44" s="31" t="s">
        <v>488</v>
      </c>
      <c r="B44" s="59" t="s">
        <v>489</v>
      </c>
      <c r="C44" s="14" t="s">
        <v>490</v>
      </c>
      <c r="D44" s="67" t="s">
        <v>447</v>
      </c>
      <c r="E44" s="15" t="n">
        <v>124</v>
      </c>
      <c r="F44" s="15" t="n">
        <v>12</v>
      </c>
      <c r="G44" s="50" t="n">
        <f aca="false">F44*(1+Resumen!$B$7)</f>
        <v>8.4</v>
      </c>
      <c r="H44" s="16" t="n">
        <f aca="false">G44*Resumen!$B$6</f>
        <v>378</v>
      </c>
      <c r="I44" s="14" t="s">
        <v>491</v>
      </c>
    </row>
    <row r="45" customFormat="false" ht="15" hidden="false" customHeight="false" outlineLevel="0" collapsed="false">
      <c r="C45" s="62" t="s">
        <v>415</v>
      </c>
      <c r="F45" s="19" t="n">
        <f aca="false">SUM(F33:F44)</f>
        <v>304</v>
      </c>
      <c r="G45" s="60" t="n">
        <f aca="false">SUM(G33:G44)</f>
        <v>212.8</v>
      </c>
      <c r="H45" s="20" t="n">
        <f aca="false">SUM(H33:H44)</f>
        <v>9576</v>
      </c>
    </row>
    <row r="47" customFormat="false" ht="15" hidden="false" customHeight="false" outlineLevel="0" collapsed="false">
      <c r="A47" s="66" t="s">
        <v>492</v>
      </c>
      <c r="B47" s="66"/>
      <c r="C47" s="66"/>
      <c r="D47" s="66"/>
      <c r="E47" s="66"/>
      <c r="F47" s="66"/>
      <c r="G47" s="66"/>
      <c r="H47" s="66"/>
      <c r="I47" s="66"/>
    </row>
    <row r="48" customFormat="false" ht="23.85" hidden="false" customHeight="false" outlineLevel="0" collapsed="false">
      <c r="A48" s="31" t="s">
        <v>493</v>
      </c>
      <c r="B48" s="59" t="s">
        <v>445</v>
      </c>
      <c r="C48" s="14" t="s">
        <v>494</v>
      </c>
      <c r="D48" s="59" t="s">
        <v>495</v>
      </c>
      <c r="E48" s="15" t="s">
        <v>385</v>
      </c>
      <c r="F48" s="15" t="n">
        <v>60</v>
      </c>
      <c r="G48" s="50" t="n">
        <f aca="false">F48*(1+Resumen!$B$7)</f>
        <v>42</v>
      </c>
      <c r="H48" s="16" t="n">
        <f aca="false">G48*Resumen!$B$6</f>
        <v>1890</v>
      </c>
      <c r="I48" s="14" t="s">
        <v>496</v>
      </c>
    </row>
    <row r="49" customFormat="false" ht="23.85" hidden="false" customHeight="false" outlineLevel="0" collapsed="false">
      <c r="A49" s="31" t="s">
        <v>497</v>
      </c>
      <c r="B49" s="59" t="s">
        <v>445</v>
      </c>
      <c r="C49" s="14" t="s">
        <v>498</v>
      </c>
      <c r="D49" s="59" t="s">
        <v>495</v>
      </c>
      <c r="E49" s="15" t="s">
        <v>385</v>
      </c>
      <c r="F49" s="15" t="n">
        <v>50</v>
      </c>
      <c r="G49" s="50" t="n">
        <f aca="false">F49*(1+Resumen!$B$7)</f>
        <v>35</v>
      </c>
      <c r="H49" s="16" t="n">
        <f aca="false">G49*Resumen!$B$6</f>
        <v>1575</v>
      </c>
      <c r="I49" s="14" t="s">
        <v>499</v>
      </c>
    </row>
    <row r="50" customFormat="false" ht="15" hidden="false" customHeight="false" outlineLevel="0" collapsed="false">
      <c r="C50" s="62" t="s">
        <v>415</v>
      </c>
      <c r="F50" s="19" t="n">
        <f aca="false">SUM(F48:F49)</f>
        <v>110</v>
      </c>
      <c r="G50" s="60" t="n">
        <f aca="false">SUM(G48:G49)</f>
        <v>77</v>
      </c>
      <c r="H50" s="20" t="n">
        <f aca="false">SUM(H48:H49)</f>
        <v>3465</v>
      </c>
    </row>
    <row r="52" customFormat="false" ht="15" hidden="false" customHeight="false" outlineLevel="0" collapsed="false">
      <c r="C52" s="62" t="s">
        <v>500</v>
      </c>
      <c r="F52" s="19" t="n">
        <f aca="false">F21+F30+F45+F50</f>
        <v>1360</v>
      </c>
      <c r="G52" s="60" t="n">
        <f aca="false">G21+G30+G45+G50</f>
        <v>952</v>
      </c>
      <c r="H52" s="20" t="n">
        <f aca="false">H21+H30+H45+H50</f>
        <v>42840</v>
      </c>
    </row>
  </sheetData>
  <mergeCells count="4">
    <mergeCell ref="A5:I5"/>
    <mergeCell ref="A23:I23"/>
    <mergeCell ref="A32:I32"/>
    <mergeCell ref="A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78"/>
  </cols>
  <sheetData>
    <row r="1" customFormat="false" ht="17.35" hidden="false" customHeight="false" outlineLevel="0" collapsed="false">
      <c r="A1" s="1" t="s">
        <v>501</v>
      </c>
    </row>
    <row r="2" customFormat="false" ht="15" hidden="false" customHeight="false" outlineLevel="0" collapsed="false">
      <c r="A2" s="2" t="s">
        <v>502</v>
      </c>
    </row>
    <row r="4" customFormat="false" ht="15" hidden="false" customHeight="false" outlineLevel="0" collapsed="false">
      <c r="A4" s="13" t="s">
        <v>346</v>
      </c>
      <c r="B4" s="13" t="s">
        <v>347</v>
      </c>
      <c r="C4" s="13" t="s">
        <v>348</v>
      </c>
      <c r="D4" s="13" t="s">
        <v>292</v>
      </c>
      <c r="E4" s="13" t="s">
        <v>293</v>
      </c>
      <c r="F4" s="13" t="s">
        <v>46</v>
      </c>
      <c r="G4" s="13" t="s">
        <v>503</v>
      </c>
    </row>
    <row r="5" customFormat="false" ht="23.85" hidden="false" customHeight="false" outlineLevel="0" collapsed="false">
      <c r="A5" s="31" t="s">
        <v>504</v>
      </c>
      <c r="B5" s="59" t="s">
        <v>505</v>
      </c>
      <c r="C5" s="14" t="s">
        <v>506</v>
      </c>
      <c r="D5" s="15" t="n">
        <v>100</v>
      </c>
      <c r="E5" s="50" t="n">
        <f aca="false">D5*(1+Resumen!$B$7)</f>
        <v>70</v>
      </c>
      <c r="F5" s="16" t="n">
        <f aca="false">E5*Resumen!$B$6</f>
        <v>3150</v>
      </c>
      <c r="G5" s="14" t="s">
        <v>507</v>
      </c>
    </row>
    <row r="6" customFormat="false" ht="23.85" hidden="false" customHeight="false" outlineLevel="0" collapsed="false">
      <c r="A6" s="31" t="s">
        <v>508</v>
      </c>
      <c r="B6" s="59" t="s">
        <v>508</v>
      </c>
      <c r="C6" s="14" t="s">
        <v>509</v>
      </c>
      <c r="D6" s="15" t="n">
        <v>90</v>
      </c>
      <c r="E6" s="50" t="n">
        <f aca="false">D6*(1+Resumen!$B$7)</f>
        <v>63</v>
      </c>
      <c r="F6" s="16" t="n">
        <f aca="false">E6*Resumen!$B$6</f>
        <v>2835</v>
      </c>
      <c r="G6" s="14" t="s">
        <v>510</v>
      </c>
    </row>
    <row r="7" customFormat="false" ht="15" hidden="false" customHeight="false" outlineLevel="0" collapsed="false">
      <c r="A7" s="31" t="s">
        <v>511</v>
      </c>
      <c r="B7" s="59" t="s">
        <v>512</v>
      </c>
      <c r="C7" s="14" t="s">
        <v>513</v>
      </c>
      <c r="D7" s="15" t="n">
        <v>80</v>
      </c>
      <c r="E7" s="50" t="n">
        <f aca="false">D7*(1+Resumen!$B$7)</f>
        <v>56</v>
      </c>
      <c r="F7" s="16" t="n">
        <f aca="false">E7*Resumen!$B$6</f>
        <v>2520</v>
      </c>
      <c r="G7" s="14" t="s">
        <v>514</v>
      </c>
    </row>
    <row r="8" customFormat="false" ht="15" hidden="false" customHeight="false" outlineLevel="0" collapsed="false">
      <c r="A8" s="31" t="s">
        <v>515</v>
      </c>
      <c r="B8" s="59" t="s">
        <v>516</v>
      </c>
      <c r="C8" s="14" t="s">
        <v>517</v>
      </c>
      <c r="D8" s="15" t="n">
        <v>60</v>
      </c>
      <c r="E8" s="50" t="n">
        <f aca="false">D8*(1+Resumen!$B$7)</f>
        <v>42</v>
      </c>
      <c r="F8" s="16" t="n">
        <f aca="false">E8*Resumen!$B$6</f>
        <v>1890</v>
      </c>
      <c r="G8" s="14" t="s">
        <v>518</v>
      </c>
    </row>
    <row r="9" customFormat="false" ht="15" hidden="false" customHeight="false" outlineLevel="0" collapsed="false">
      <c r="A9" s="31" t="s">
        <v>519</v>
      </c>
      <c r="B9" s="59" t="s">
        <v>520</v>
      </c>
      <c r="C9" s="14" t="s">
        <v>521</v>
      </c>
      <c r="D9" s="15" t="n">
        <v>60</v>
      </c>
      <c r="E9" s="50" t="n">
        <f aca="false">D9*(1+Resumen!$B$7)</f>
        <v>42</v>
      </c>
      <c r="F9" s="16" t="n">
        <f aca="false">E9*Resumen!$B$6</f>
        <v>1890</v>
      </c>
      <c r="G9" s="14" t="s">
        <v>522</v>
      </c>
    </row>
    <row r="10" customFormat="false" ht="15" hidden="false" customHeight="false" outlineLevel="0" collapsed="false">
      <c r="A10" s="31" t="s">
        <v>523</v>
      </c>
      <c r="B10" s="59" t="s">
        <v>524</v>
      </c>
      <c r="C10" s="14" t="s">
        <v>525</v>
      </c>
      <c r="D10" s="15" t="n">
        <v>48</v>
      </c>
      <c r="E10" s="50" t="n">
        <f aca="false">D10*(1+Resumen!$B$7)</f>
        <v>33.6</v>
      </c>
      <c r="F10" s="16" t="n">
        <f aca="false">E10*Resumen!$B$6</f>
        <v>1512</v>
      </c>
      <c r="G10" s="14" t="s">
        <v>526</v>
      </c>
    </row>
    <row r="11" customFormat="false" ht="15" hidden="false" customHeight="false" outlineLevel="0" collapsed="false">
      <c r="A11" s="31" t="s">
        <v>527</v>
      </c>
      <c r="B11" s="59" t="s">
        <v>528</v>
      </c>
      <c r="C11" s="14" t="s">
        <v>529</v>
      </c>
      <c r="D11" s="15" t="n">
        <v>40</v>
      </c>
      <c r="E11" s="50" t="n">
        <f aca="false">D11*(1+Resumen!$B$7)</f>
        <v>28</v>
      </c>
      <c r="F11" s="16" t="n">
        <f aca="false">E11*Resumen!$B$6</f>
        <v>1260</v>
      </c>
      <c r="G11" s="14" t="s">
        <v>530</v>
      </c>
    </row>
    <row r="12" customFormat="false" ht="15" hidden="false" customHeight="false" outlineLevel="0" collapsed="false">
      <c r="A12" s="31" t="s">
        <v>531</v>
      </c>
      <c r="B12" s="59" t="s">
        <v>531</v>
      </c>
      <c r="C12" s="14" t="s">
        <v>532</v>
      </c>
      <c r="D12" s="15" t="n">
        <v>32</v>
      </c>
      <c r="E12" s="50" t="n">
        <f aca="false">D12*(1+Resumen!$B$7)</f>
        <v>22.4</v>
      </c>
      <c r="F12" s="16" t="n">
        <f aca="false">E12*Resumen!$B$6</f>
        <v>1008</v>
      </c>
      <c r="G12" s="14" t="s">
        <v>533</v>
      </c>
    </row>
    <row r="13" customFormat="false" ht="15" hidden="false" customHeight="false" outlineLevel="0" collapsed="false">
      <c r="A13" s="31" t="s">
        <v>534</v>
      </c>
      <c r="B13" s="59" t="s">
        <v>535</v>
      </c>
      <c r="C13" s="14" t="s">
        <v>536</v>
      </c>
      <c r="D13" s="15" t="n">
        <v>24</v>
      </c>
      <c r="E13" s="50" t="n">
        <f aca="false">D13*(1+Resumen!$B$7)</f>
        <v>16.8</v>
      </c>
      <c r="F13" s="16" t="n">
        <f aca="false">E13*Resumen!$B$6</f>
        <v>756</v>
      </c>
      <c r="G13" s="14" t="s">
        <v>537</v>
      </c>
    </row>
    <row r="14" customFormat="false" ht="15" hidden="false" customHeight="false" outlineLevel="0" collapsed="false">
      <c r="A14" s="31" t="s">
        <v>538</v>
      </c>
      <c r="B14" s="59" t="s">
        <v>539</v>
      </c>
      <c r="C14" s="14" t="s">
        <v>540</v>
      </c>
      <c r="D14" s="15" t="n">
        <v>16</v>
      </c>
      <c r="E14" s="50" t="n">
        <f aca="false">D14*(1+Resumen!$B$7)</f>
        <v>11.2</v>
      </c>
      <c r="F14" s="16" t="n">
        <f aca="false">E14*Resumen!$B$6</f>
        <v>504</v>
      </c>
      <c r="G14" s="14" t="s">
        <v>541</v>
      </c>
    </row>
    <row r="15" customFormat="false" ht="15" hidden="false" customHeight="false" outlineLevel="0" collapsed="false">
      <c r="A15" s="31" t="s">
        <v>542</v>
      </c>
      <c r="B15" s="59" t="s">
        <v>543</v>
      </c>
      <c r="C15" s="14" t="s">
        <v>544</v>
      </c>
      <c r="D15" s="15" t="n">
        <v>16</v>
      </c>
      <c r="E15" s="50" t="n">
        <f aca="false">D15*(1+Resumen!$B$7)</f>
        <v>11.2</v>
      </c>
      <c r="F15" s="16" t="n">
        <f aca="false">E15*Resumen!$B$6</f>
        <v>504</v>
      </c>
      <c r="G15" s="14" t="s">
        <v>545</v>
      </c>
    </row>
    <row r="16" customFormat="false" ht="15" hidden="false" customHeight="false" outlineLevel="0" collapsed="false">
      <c r="C16" s="62" t="s">
        <v>546</v>
      </c>
      <c r="D16" s="19" t="n">
        <f aca="false">SUM(D5:D15)</f>
        <v>566</v>
      </c>
      <c r="E16" s="60" t="n">
        <f aca="false">SUM(E5:E15)</f>
        <v>396.2</v>
      </c>
      <c r="F16" s="20" t="n">
        <f aca="false">SUM(F5:F15)</f>
        <v>17829</v>
      </c>
    </row>
    <row r="18" customFormat="false" ht="15" hidden="false" customHeight="false" outlineLevel="0" collapsed="false">
      <c r="C18" s="4" t="s">
        <v>547</v>
      </c>
      <c r="F18" s="63" t="n">
        <f aca="false">F16*0.85</f>
        <v>15154.65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6"/>
    <col collapsed="false" customWidth="true" hidden="false" outlineLevel="0" max="2" min="2" style="0" width="3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548</v>
      </c>
    </row>
    <row r="3" customFormat="false" ht="15" hidden="false" customHeight="false" outlineLevel="0" collapsed="false">
      <c r="A3" s="3" t="s">
        <v>549</v>
      </c>
    </row>
    <row r="4" customFormat="false" ht="15" hidden="false" customHeight="false" outlineLevel="0" collapsed="false">
      <c r="A4" s="68" t="s">
        <v>550</v>
      </c>
      <c r="B4" s="43" t="s">
        <v>551</v>
      </c>
      <c r="C4" s="6" t="s">
        <v>552</v>
      </c>
    </row>
    <row r="5" customFormat="false" ht="15" hidden="false" customHeight="false" outlineLevel="0" collapsed="false">
      <c r="A5" s="68" t="s">
        <v>553</v>
      </c>
      <c r="B5" s="43" t="s">
        <v>554</v>
      </c>
      <c r="C5" s="6" t="s">
        <v>555</v>
      </c>
    </row>
    <row r="6" customFormat="false" ht="15" hidden="false" customHeight="false" outlineLevel="0" collapsed="false">
      <c r="A6" s="68" t="s">
        <v>556</v>
      </c>
      <c r="B6" s="43" t="s">
        <v>557</v>
      </c>
      <c r="C6" s="6" t="s">
        <v>558</v>
      </c>
    </row>
    <row r="7" customFormat="false" ht="15" hidden="false" customHeight="false" outlineLevel="0" collapsed="false">
      <c r="A7" s="68" t="s">
        <v>559</v>
      </c>
      <c r="B7" s="43" t="s">
        <v>560</v>
      </c>
      <c r="C7" s="6" t="s">
        <v>561</v>
      </c>
    </row>
    <row r="8" customFormat="false" ht="15" hidden="false" customHeight="false" outlineLevel="0" collapsed="false">
      <c r="A8" s="68" t="s">
        <v>562</v>
      </c>
      <c r="B8" s="43" t="s">
        <v>563</v>
      </c>
      <c r="C8" s="6"/>
    </row>
    <row r="9" customFormat="false" ht="15" hidden="false" customHeight="false" outlineLevel="0" collapsed="false">
      <c r="A9" s="68" t="s">
        <v>564</v>
      </c>
      <c r="B9" s="43" t="s">
        <v>565</v>
      </c>
      <c r="C9" s="6" t="s">
        <v>566</v>
      </c>
    </row>
    <row r="10" customFormat="false" ht="15" hidden="false" customHeight="false" outlineLevel="0" collapsed="false">
      <c r="A10" s="68" t="s">
        <v>567</v>
      </c>
      <c r="B10" s="43" t="s">
        <v>568</v>
      </c>
      <c r="C10" s="6" t="s">
        <v>569</v>
      </c>
    </row>
    <row r="12" customFormat="false" ht="15" hidden="false" customHeight="false" outlineLevel="0" collapsed="false">
      <c r="A12" s="3" t="s">
        <v>570</v>
      </c>
    </row>
    <row r="13" customFormat="false" ht="15" hidden="false" customHeight="false" outlineLevel="0" collapsed="false">
      <c r="A13" s="68" t="s">
        <v>571</v>
      </c>
      <c r="B13" s="43" t="s">
        <v>572</v>
      </c>
      <c r="C13" s="6" t="s">
        <v>573</v>
      </c>
    </row>
    <row r="14" customFormat="false" ht="15" hidden="false" customHeight="false" outlineLevel="0" collapsed="false">
      <c r="A14" s="68" t="s">
        <v>574</v>
      </c>
      <c r="B14" s="43" t="s">
        <v>575</v>
      </c>
      <c r="C14" s="6" t="s">
        <v>576</v>
      </c>
    </row>
    <row r="15" customFormat="false" ht="22.35" hidden="false" customHeight="false" outlineLevel="0" collapsed="false">
      <c r="A15" s="68" t="s">
        <v>577</v>
      </c>
      <c r="B15" s="43" t="s">
        <v>578</v>
      </c>
      <c r="C15" s="6" t="s">
        <v>579</v>
      </c>
    </row>
    <row r="16" customFormat="false" ht="15" hidden="false" customHeight="false" outlineLevel="0" collapsed="false">
      <c r="A16" s="68" t="s">
        <v>580</v>
      </c>
      <c r="B16" s="43" t="s">
        <v>581</v>
      </c>
      <c r="C16" s="6" t="s">
        <v>582</v>
      </c>
    </row>
    <row r="17" customFormat="false" ht="22.35" hidden="false" customHeight="false" outlineLevel="0" collapsed="false">
      <c r="A17" s="68" t="s">
        <v>583</v>
      </c>
      <c r="B17" s="43" t="s">
        <v>584</v>
      </c>
      <c r="C17" s="6" t="s">
        <v>585</v>
      </c>
    </row>
    <row r="19" customFormat="false" ht="15" hidden="false" customHeight="false" outlineLevel="0" collapsed="false">
      <c r="A19" s="3" t="s">
        <v>586</v>
      </c>
    </row>
    <row r="20" customFormat="false" ht="15" hidden="false" customHeight="false" outlineLevel="0" collapsed="false">
      <c r="A20" s="68" t="s">
        <v>587</v>
      </c>
      <c r="B20" s="43" t="s">
        <v>588</v>
      </c>
      <c r="C20" s="6" t="s">
        <v>589</v>
      </c>
    </row>
    <row r="21" customFormat="false" ht="15" hidden="false" customHeight="false" outlineLevel="0" collapsed="false">
      <c r="A21" s="68" t="s">
        <v>590</v>
      </c>
      <c r="B21" s="43" t="s">
        <v>591</v>
      </c>
      <c r="C21" s="6" t="s">
        <v>592</v>
      </c>
    </row>
    <row r="22" customFormat="false" ht="15" hidden="false" customHeight="false" outlineLevel="0" collapsed="false">
      <c r="A22" s="68" t="s">
        <v>593</v>
      </c>
      <c r="B22" s="43" t="s">
        <v>594</v>
      </c>
      <c r="C22" s="6" t="s">
        <v>595</v>
      </c>
    </row>
    <row r="23" customFormat="false" ht="15" hidden="false" customHeight="false" outlineLevel="0" collapsed="false">
      <c r="A23" s="68" t="s">
        <v>596</v>
      </c>
      <c r="B23" s="43" t="s">
        <v>597</v>
      </c>
      <c r="C23" s="6" t="s">
        <v>598</v>
      </c>
    </row>
    <row r="24" customFormat="false" ht="22.35" hidden="false" customHeight="false" outlineLevel="0" collapsed="false">
      <c r="A24" s="68" t="s">
        <v>599</v>
      </c>
      <c r="B24" s="43" t="s">
        <v>600</v>
      </c>
      <c r="C24" s="6" t="s">
        <v>601</v>
      </c>
    </row>
    <row r="26" customFormat="false" ht="15" hidden="false" customHeight="false" outlineLevel="0" collapsed="false">
      <c r="A26" s="3" t="s">
        <v>602</v>
      </c>
    </row>
    <row r="27" customFormat="false" ht="27.75" hidden="false" customHeight="true" outlineLevel="0" collapsed="false">
      <c r="A27" s="30" t="s">
        <v>603</v>
      </c>
      <c r="B27" s="30"/>
      <c r="C27" s="30"/>
    </row>
    <row r="28" customFormat="false" ht="27.75" hidden="false" customHeight="true" outlineLevel="0" collapsed="false">
      <c r="A28" s="30" t="s">
        <v>604</v>
      </c>
      <c r="B28" s="30"/>
      <c r="C28" s="30"/>
    </row>
    <row r="29" customFormat="false" ht="27.75" hidden="false" customHeight="true" outlineLevel="0" collapsed="false">
      <c r="A29" s="30" t="s">
        <v>605</v>
      </c>
      <c r="B29" s="30"/>
      <c r="C29" s="30"/>
    </row>
    <row r="30" customFormat="false" ht="27.75" hidden="false" customHeight="true" outlineLevel="0" collapsed="false">
      <c r="A30" s="30" t="s">
        <v>606</v>
      </c>
      <c r="B30" s="30"/>
      <c r="C30" s="30"/>
    </row>
    <row r="32" customFormat="false" ht="15" hidden="false" customHeight="false" outlineLevel="0" collapsed="false">
      <c r="A32" s="3" t="s">
        <v>607</v>
      </c>
    </row>
    <row r="33" customFormat="false" ht="22.35" hidden="false" customHeight="false" outlineLevel="0" collapsed="false">
      <c r="A33" s="68" t="s">
        <v>608</v>
      </c>
      <c r="B33" s="43" t="s">
        <v>609</v>
      </c>
      <c r="C33" s="6" t="s">
        <v>610</v>
      </c>
    </row>
    <row r="34" customFormat="false" ht="22.35" hidden="false" customHeight="false" outlineLevel="0" collapsed="false">
      <c r="A34" s="68" t="s">
        <v>611</v>
      </c>
      <c r="B34" s="43" t="s">
        <v>612</v>
      </c>
      <c r="C34" s="6" t="s">
        <v>613</v>
      </c>
    </row>
    <row r="35" customFormat="false" ht="22.35" hidden="false" customHeight="false" outlineLevel="0" collapsed="false">
      <c r="A35" s="68" t="s">
        <v>614</v>
      </c>
      <c r="B35" s="43" t="s">
        <v>615</v>
      </c>
      <c r="C35" s="6" t="s">
        <v>616</v>
      </c>
    </row>
    <row r="36" customFormat="false" ht="22.35" hidden="false" customHeight="false" outlineLevel="0" collapsed="false">
      <c r="A36" s="68" t="s">
        <v>617</v>
      </c>
      <c r="B36" s="43" t="s">
        <v>618</v>
      </c>
      <c r="C36" s="6" t="s">
        <v>619</v>
      </c>
    </row>
    <row r="38" customFormat="false" ht="15" hidden="false" customHeight="false" outlineLevel="0" collapsed="false">
      <c r="A38" s="3" t="s">
        <v>620</v>
      </c>
    </row>
    <row r="39" customFormat="false" ht="27.75" hidden="false" customHeight="true" outlineLevel="0" collapsed="false">
      <c r="A39" s="30" t="s">
        <v>621</v>
      </c>
      <c r="B39" s="30"/>
      <c r="C39" s="30"/>
    </row>
    <row r="40" customFormat="false" ht="27.75" hidden="false" customHeight="true" outlineLevel="0" collapsed="false">
      <c r="A40" s="30" t="s">
        <v>622</v>
      </c>
      <c r="B40" s="30"/>
      <c r="C40" s="30"/>
    </row>
    <row r="41" customFormat="false" ht="27.75" hidden="false" customHeight="true" outlineLevel="0" collapsed="false">
      <c r="A41" s="30" t="s">
        <v>623</v>
      </c>
      <c r="B41" s="30"/>
      <c r="C41" s="30"/>
    </row>
    <row r="42" customFormat="false" ht="27.75" hidden="false" customHeight="true" outlineLevel="0" collapsed="false">
      <c r="A42" s="30" t="s">
        <v>624</v>
      </c>
      <c r="B42" s="30"/>
      <c r="C42" s="30"/>
    </row>
    <row r="43" customFormat="false" ht="27.75" hidden="false" customHeight="true" outlineLevel="0" collapsed="false">
      <c r="A43" s="30" t="s">
        <v>625</v>
      </c>
      <c r="B43" s="30"/>
      <c r="C43" s="30"/>
    </row>
    <row r="45" customFormat="false" ht="15" hidden="false" customHeight="false" outlineLevel="0" collapsed="false">
      <c r="A45" s="3" t="s">
        <v>626</v>
      </c>
    </row>
    <row r="46" customFormat="false" ht="25.5" hidden="false" customHeight="true" outlineLevel="0" collapsed="false">
      <c r="A46" s="30" t="s">
        <v>627</v>
      </c>
      <c r="B46" s="30"/>
      <c r="C46" s="30"/>
    </row>
    <row r="47" customFormat="false" ht="25.5" hidden="false" customHeight="true" outlineLevel="0" collapsed="false">
      <c r="A47" s="30" t="s">
        <v>628</v>
      </c>
      <c r="B47" s="30"/>
      <c r="C47" s="30"/>
    </row>
    <row r="48" customFormat="false" ht="25.5" hidden="false" customHeight="true" outlineLevel="0" collapsed="false">
      <c r="A48" s="30" t="s">
        <v>629</v>
      </c>
      <c r="B48" s="30"/>
      <c r="C48" s="30"/>
    </row>
    <row r="49" customFormat="false" ht="25.5" hidden="false" customHeight="true" outlineLevel="0" collapsed="false">
      <c r="A49" s="30" t="s">
        <v>630</v>
      </c>
      <c r="B49" s="30"/>
      <c r="C49" s="30"/>
    </row>
    <row r="50" customFormat="false" ht="25.5" hidden="false" customHeight="true" outlineLevel="0" collapsed="false">
      <c r="A50" s="30" t="s">
        <v>631</v>
      </c>
      <c r="B50" s="30"/>
      <c r="C50" s="30"/>
    </row>
    <row r="51" customFormat="false" ht="25.5" hidden="false" customHeight="true" outlineLevel="0" collapsed="false">
      <c r="A51" s="30" t="s">
        <v>632</v>
      </c>
      <c r="B51" s="30"/>
      <c r="C51" s="30"/>
    </row>
    <row r="53" customFormat="false" ht="15" hidden="false" customHeight="false" outlineLevel="0" collapsed="false">
      <c r="A53" s="3" t="s">
        <v>633</v>
      </c>
    </row>
    <row r="54" customFormat="false" ht="15" hidden="false" customHeight="false" outlineLevel="0" collapsed="false">
      <c r="A54" s="4" t="s">
        <v>634</v>
      </c>
    </row>
    <row r="55" customFormat="false" ht="15" hidden="false" customHeight="false" outlineLevel="0" collapsed="false">
      <c r="A55" s="4" t="s">
        <v>635</v>
      </c>
    </row>
    <row r="56" customFormat="false" ht="15" hidden="false" customHeight="false" outlineLevel="0" collapsed="false">
      <c r="A56" s="4" t="s">
        <v>636</v>
      </c>
    </row>
    <row r="57" customFormat="false" ht="15" hidden="false" customHeight="false" outlineLevel="0" collapsed="false">
      <c r="A57" s="4" t="s">
        <v>637</v>
      </c>
    </row>
    <row r="58" customFormat="false" ht="15" hidden="false" customHeight="false" outlineLevel="0" collapsed="false">
      <c r="A58" s="4" t="s">
        <v>638</v>
      </c>
    </row>
    <row r="59" customFormat="false" ht="15" hidden="false" customHeight="false" outlineLevel="0" collapsed="false">
      <c r="A59" s="4" t="s">
        <v>639</v>
      </c>
    </row>
  </sheetData>
  <mergeCells count="15">
    <mergeCell ref="A27:C27"/>
    <mergeCell ref="A28:C28"/>
    <mergeCell ref="A29:C29"/>
    <mergeCell ref="A30:C30"/>
    <mergeCell ref="A39:C39"/>
    <mergeCell ref="A40:C40"/>
    <mergeCell ref="A41:C41"/>
    <mergeCell ref="A42:C42"/>
    <mergeCell ref="A43:C43"/>
    <mergeCell ref="A46:C46"/>
    <mergeCell ref="A47:C47"/>
    <mergeCell ref="A48:C48"/>
    <mergeCell ref="A49:C49"/>
    <mergeCell ref="A50:C50"/>
    <mergeCell ref="A51:C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2026-08-11T17:45:19Z</dcterms:created>
  <dc:creator>openpyxl</dc:creator>
  <dc:description/>
  <dc:language>en-US</dc:language>
  <cp:lastModifiedBy/>
  <dcterms:modified xsi:type="dcterms:W3CDTF">2026-08-11T17:45:20Z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