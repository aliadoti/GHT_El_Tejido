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opuesta facturación" sheetId="2" state="visible" r:id="rId4"/>
    <sheet name="MVP base" sheetId="3" state="visible" r:id="rId5"/>
    <sheet name="Resto ejecutado" sheetId="4" state="visible" r:id="rId6"/>
    <sheet name="Resto diferido" sheetId="5" state="visible" r:id="rId7"/>
    <sheet name="Base de cálcul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<sst xmlns="http://schemas.openxmlformats.org/spreadsheetml/2006/main" count="488" uniqueCount="416">
  <si>
    <t xml:space="preserve">Estimación independiente del costo de desarrollo — El Tejido (GHT)</t>
  </si>
  <si>
    <t xml:space="preserve">Corte 2026-08-10 · Elaborado sobre evidencia de repositorio (git), specs y hoja Estado de Seguimiento_Requerimientos.xlsx</t>
  </si>
  <si>
    <t xml:space="preserve">Parámetros</t>
  </si>
  <si>
    <t xml:space="preserve">Tarifa de mercado (USD/h)</t>
  </si>
  <si>
    <t xml:space="preserve">Tarifa blended agencia LATAM/nearshore para stack .NET 8 + Angular + LLM</t>
  </si>
  <si>
    <t xml:space="preserve">Tarifa contractual (USD/h)</t>
  </si>
  <si>
    <t xml:space="preserve">USD 19.500 / 160 h mes — Propuesta Económica El Tejido, §5.3</t>
  </si>
  <si>
    <t xml:space="preserve">Capacidad mensual contratada (h)</t>
  </si>
  <si>
    <t xml:space="preserve">Propuesta Económica El Tejido, §5.3</t>
  </si>
  <si>
    <t xml:space="preserve">Factor de compresión por desarrollo asistido por IA</t>
  </si>
  <si>
    <t xml:space="preserve">Horas de mercado ÷ horas reales observadas (ver hoja Base de cálculo)</t>
  </si>
  <si>
    <t xml:space="preserve">Lente 1 — Costo de reposición a precios de mercado (equipo convencional, sin IA)</t>
  </si>
  <si>
    <t xml:space="preserve">Responde: ¿cuánto costaría hoy reconstruir esto contratando una fábrica de software?</t>
  </si>
  <si>
    <t xml:space="preserve">Bloque</t>
  </si>
  <si>
    <t xml:space="preserve">Horas estimadas</t>
  </si>
  <si>
    <t xml:space="preserve">Valor (USD)</t>
  </si>
  <si>
    <t xml:space="preserve">% del total</t>
  </si>
  <si>
    <t xml:space="preserve">MVP base (REQ-001 … REQ-011)</t>
  </si>
  <si>
    <t xml:space="preserve">Resto — ejecutado (33 iniciativas + transversal)</t>
  </si>
  <si>
    <t xml:space="preserve">Resto — backlog diferido (11 iniciativas)</t>
  </si>
  <si>
    <t xml:space="preserve">TOTAL ENTREGADO A LA FECHA</t>
  </si>
  <si>
    <t xml:space="preserve">TOTAL ENTREGADO + BACKLOG</t>
  </si>
  <si>
    <t xml:space="preserve">Lente 2 — Valor facturable bajo el contrato vigente (horas reales × tarifa contractual)</t>
  </si>
  <si>
    <t xml:space="preserve">Responde: ¿cuánto se puede facturar legítimamente a GHT bajo el modelo de capacidad ya acordado?</t>
  </si>
  <si>
    <t xml:space="preserve">Periodo</t>
  </si>
  <si>
    <t xml:space="preserve">Horas reales estimadas</t>
  </si>
  <si>
    <t xml:space="preserve">Meses-capacidad equiv.</t>
  </si>
  <si>
    <t xml:space="preserve">Estado de facturación</t>
  </si>
  <si>
    <t xml:space="preserve">MVP base — sprint 13 al 22 jun 2026</t>
  </si>
  <si>
    <t xml:space="preserve">Facturado (precio cerrado USD 9.750)</t>
  </si>
  <si>
    <t xml:space="preserve">Post-MVP — 14 jul al 10 ago 2026</t>
  </si>
  <si>
    <t xml:space="preserve">NO FACTURADO</t>
  </si>
  <si>
    <t xml:space="preserve">TOTAL</t>
  </si>
  <si>
    <t xml:space="preserve">Facturado a la fecha</t>
  </si>
  <si>
    <t xml:space="preserve">BRECHA PENDIENTE DE FACTURAR</t>
  </si>
  <si>
    <t xml:space="preserve">Lente 3 — Lectura comercial</t>
  </si>
  <si>
    <t xml:space="preserve">1. GHT ha recibido a la fecha activo de software por un costo de reposición de mercado de ~USD 274.000, y ha pagado USD 9.750 (3,6%).</t>
  </si>
  <si>
    <t xml:space="preserve">2. El diferencial no es un regalo: es el efecto del desarrollo asistido por IA (factor ~6,3x) más el subsidio comercial del sprint MVP a precio cerrado.</t>
  </si>
  <si>
    <t xml:space="preserve">3. Bajo el propio modelo contractual (capacidad 160 h/mes) hay ~USD 34.000 de trabajo entregado y no facturado desde el 14-jul.</t>
  </si>
  <si>
    <t xml:space="preserve">4. Riesgo de anclaje: si GHT interioriza USD 9.750 como el precio de 'un sistema completo', toda la evolución posterior queda mal anclada.</t>
  </si>
  <si>
    <t xml:space="preserve">5. Recomendación: facturar el post-MVP como 2 ciclos de capacidad (USD 39.000) y presentar el costo de reposición como evidencia de valor entregado, no como precio.</t>
  </si>
  <si>
    <t xml:space="preserve">6. El backlog diferido (566 h / USD 68.000 de mercado ≈ USD 11.000 a tarifa contractual con factor IA) es la conversación de renovación.</t>
  </si>
  <si>
    <t xml:space="preserve">¿Cuánto facturar por el resto ejecutado?</t>
  </si>
  <si>
    <t xml:space="preserve">Excluye el backlog diferido. Cliente con proyecto puntual y baja disposición a pagar; se preserva la tarifa contractual y se ajusta el alcance cobrable.</t>
  </si>
  <si>
    <t xml:space="preserve">1. Reparto del esfuerzo real post-MVP (260 h estimadas)</t>
  </si>
  <si>
    <t xml:space="preserve">Grupo</t>
  </si>
  <si>
    <t xml:space="preserve">Horas de mercado</t>
  </si>
  <si>
    <t xml:space="preserve">Horas reales</t>
  </si>
  <si>
    <t xml:space="preserve">¿Cobrable?</t>
  </si>
  <si>
    <t xml:space="preserve">Criterio</t>
  </si>
  <si>
    <t xml:space="preserve">A. Desarrollado y registrado en la hoja Estado (15 iniciativas)</t>
  </si>
  <si>
    <t xml:space="preserve">Sí</t>
  </si>
  <si>
    <t xml:space="preserve">Trabajo con REQ asignado y trazable en la hoja de seguimiento.</t>
  </si>
  <si>
    <t xml:space="preserve">B. En curso / en pruebas y registrado (6 iniciativas)</t>
  </si>
  <si>
    <t xml:space="preserve">P-26, I-08, P-27, P-28, P-29, P-30. Código completo local aunque con flags OFF.</t>
  </si>
  <si>
    <t xml:space="preserve">C. Ejecutado pero AUSENTE de la hoja Estado (12 iniciativas)</t>
  </si>
  <si>
    <t xml:space="preserve">No</t>
  </si>
  <si>
    <t xml:space="preserve">Sin aprobación previa ni registro. Cobrarlo abre una discusión que no conviene; se absorbe como concesión visible.</t>
  </si>
  <si>
    <t xml:space="preserve">D. Transversal: QA E2E y documentación</t>
  </si>
  <si>
    <t xml:space="preserve">Soporta la entrega de A y B; se factura prorrateado.</t>
  </si>
  <si>
    <t xml:space="preserve">Horas reales post-MVP (14 jul – 10 ago)</t>
  </si>
  <si>
    <t xml:space="preserve">Inferidas de la cadencia de commits: 22 días activos, ~1,2 FTE</t>
  </si>
  <si>
    <t xml:space="preserve">Horas cobrables (grupos A + B + D)</t>
  </si>
  <si>
    <t xml:space="preserve">Horas absorbidas como concesión (grupo C)</t>
  </si>
  <si>
    <t xml:space="preserve">Propuesta Económica §5.3 — NO se descuenta</t>
  </si>
  <si>
    <t xml:space="preserve">2. Escenarios de facturación</t>
  </si>
  <si>
    <t xml:space="preserve">Escenario</t>
  </si>
  <si>
    <t xml:space="preserve">Base de cálculo</t>
  </si>
  <si>
    <t xml:space="preserve">Múltiplo vs. MVP</t>
  </si>
  <si>
    <t xml:space="preserve">Prob. de cierre</t>
  </si>
  <si>
    <t xml:space="preserve">Uso en la negociación</t>
  </si>
  <si>
    <t xml:space="preserve">Apertura — contrato literal</t>
  </si>
  <si>
    <t xml:space="preserve">260 h reales × tarifa contractual</t>
  </si>
  <si>
    <t xml:space="preserve">Baja</t>
  </si>
  <si>
    <t xml:space="preserve">Es lo que el contrato permite cobrar. Se pone sobre la mesa para anclar, no para cerrar.</t>
  </si>
  <si>
    <t xml:space="preserve">RECOMENDADO — cierre</t>
  </si>
  <si>
    <t xml:space="preserve">202 h cobrables × tarifa contractual, con 58 h absorbidas</t>
  </si>
  <si>
    <t xml:space="preserve">Alta</t>
  </si>
  <si>
    <t xml:space="preserve">Precio cerrado. La concesión de 58 h (USD 7.070) es visible y no cuesta tarifa.</t>
  </si>
  <si>
    <t xml:space="preserve">Piso — walk-away</t>
  </si>
  <si>
    <t xml:space="preserve">1,25 ciclos de capacidad (200 h)</t>
  </si>
  <si>
    <t xml:space="preserve">Muy alta</t>
  </si>
  <si>
    <t xml:space="preserve">No bajar de aquí: por debajo el precio/hora efectivo cae bajo el del MVP y quema el ancla para la extensión.</t>
  </si>
  <si>
    <t xml:space="preserve">Rendición (no recomendado)</t>
  </si>
  <si>
    <t xml:space="preserve">1 ciclo de capacidad (160 h)</t>
  </si>
  <si>
    <t xml:space="preserve">Casi segura</t>
  </si>
  <si>
    <t xml:space="preserve">Solo si el riesgo de relación es real. Cede USD 5.000 sin contrapartida.</t>
  </si>
  <si>
    <t xml:space="preserve">3. Triangulación del número recomendado (USD 24.500)</t>
  </si>
  <si>
    <t xml:space="preserve">Tres métodos independientes convergen en el mismo rango:</t>
  </si>
  <si>
    <t xml:space="preserve">Método 1 — Esfuerzo cobrable</t>
  </si>
  <si>
    <t xml:space="preserve">202 h × USD 121,88</t>
  </si>
  <si>
    <t xml:space="preserve">Método 2 — Duración relativa al MVP</t>
  </si>
  <si>
    <t xml:space="preserve">El post-MVP tomó 20 días hábiles vs. 8 del sprint MVP = 2,5x × USD 9.750</t>
  </si>
  <si>
    <t xml:space="preserve">Método 3 — Ciclos de capacidad</t>
  </si>
  <si>
    <t xml:space="preserve">1,25 ciclos de los 160 h/mes contratados × USD 19.500</t>
  </si>
  <si>
    <t xml:space="preserve">4. Cómo se ve para GHT</t>
  </si>
  <si>
    <t xml:space="preserve">Ya facturado — MVP base</t>
  </si>
  <si>
    <t xml:space="preserve">Propuesto — resto ejecutado</t>
  </si>
  <si>
    <t xml:space="preserve">TOTAL DEL PROYECTO</t>
  </si>
  <si>
    <t xml:space="preserve">Costo de reposición de mercado de lo entregado</t>
  </si>
  <si>
    <t xml:space="preserve">GHT paga, sobre el costo de reposición</t>
  </si>
  <si>
    <t xml:space="preserve">5. Reglas de la negociación</t>
  </si>
  <si>
    <t xml:space="preserve">No descontar la tarifa. Se descuentan horas, nunca los USD 121,88/h: la tarifa es el activo que hay que proteger para la extensión.</t>
  </si>
  <si>
    <t xml:space="preserve">Poner la concesión sobre la mesa primero. 'Ejecutamos 33 iniciativas; les facturamos 21. Las 12 que no quedaron registradas las absorbemos (USD 7.070).' Eso compra el derecho a pedir el resto completo.</t>
  </si>
  <si>
    <t xml:space="preserve">Justificar el múltiplo 2,5x con volumen, no con esfuerzo: 33 iniciativas vs. 11 requerimientos, 4 semanas vs. 8 días hábiles, +39.826 líneas vs. +30.057.</t>
  </si>
  <si>
    <t xml:space="preserve">Nunca mostrar los USD 274.000 como precio. Se muestra como respaldo de valor solo si GHT cuestiona que 24.500 sea caro.</t>
  </si>
  <si>
    <t xml:space="preserve">Facilitar la aprobación, no el precio: si hay resistencia, ofrecer 2 cuotas (50% a la firma / 50% a 30 días) antes que bajar el número.</t>
  </si>
  <si>
    <t xml:space="preserve">Cerrar el diferido con precio pre-acordado (566 h de mercado). Convierte este cierre en una opción de renovación en lugar de un final.</t>
  </si>
  <si>
    <t xml:space="preserve">Condición innegociable: llenar las columnas Estimación/Horas/Tarifa de la hoja de seguimiento y firmar las aprobaciones antes de ejecutar la siguiente fase. Sin eso se repite la fuga.</t>
  </si>
  <si>
    <t xml:space="preserve">MVP base — estimación independiente (REQ-001 a REQ-011)</t>
  </si>
  <si>
    <t xml:space="preserve">Sprint 13–24 jun 2026 · 81 commits · 319 archivos · 30.057 líneas netas en src+tests · Horas = equipo convencional a precios de mercado</t>
  </si>
  <si>
    <t xml:space="preserve">ID</t>
  </si>
  <si>
    <t xml:space="preserve">Requerimiento</t>
  </si>
  <si>
    <t xml:space="preserve">Alcance técnico que sustenta la estimación</t>
  </si>
  <si>
    <t xml:space="preserve">Horas</t>
  </si>
  <si>
    <t xml:space="preserve">Complejidad</t>
  </si>
  <si>
    <t xml:space="preserve">REQ-011</t>
  </si>
  <si>
    <t xml:space="preserve">Plataforma base (.NET 8, Cosmos, API REST, CI/CD)</t>
  </si>
  <si>
    <t xml:space="preserve">Solución modular de 6 proyectos, modelo de datos Cosmos, contrato REST, pipelines GitHub Actions, Directory.Build.props, IaC Azure</t>
  </si>
  <si>
    <t xml:space="preserve">REQ-001</t>
  </si>
  <si>
    <t xml:space="preserve">Autenticación de administrador por OTP de WhatsApp</t>
  </si>
  <si>
    <t xml:space="preserve">Login passwordless, emisión/validación de OTP, sesión JWT, rate limit anti-abuso</t>
  </si>
  <si>
    <t xml:space="preserve">Media</t>
  </si>
  <si>
    <t xml:space="preserve">REQ-002</t>
  </si>
  <si>
    <t xml:space="preserve">Identidad y matrícula de participantes</t>
  </si>
  <si>
    <t xml:space="preserve">Resolución de identidad por número, validación de matrícula y estado activo por campaña</t>
  </si>
  <si>
    <t xml:space="preserve">REQ-003</t>
  </si>
  <si>
    <t xml:space="preserve">Gestión de campañas, usuarios y preguntas</t>
  </si>
  <si>
    <t xml:space="preserve">CRUD completo con asociaciones N:M, tags, validaciones y API</t>
  </si>
  <si>
    <t xml:space="preserve">Media-Alta</t>
  </si>
  <si>
    <t xml:space="preserve">REQ-004</t>
  </si>
  <si>
    <t xml:space="preserve">Envío de mensajes iniciales por WhatsApp</t>
  </si>
  <si>
    <t xml:space="preserve">Integración WhatsApp Cloud API, plantillas HSM, reenvío a no respondientes, reintento de fallidos, idempotencia</t>
  </si>
  <si>
    <t xml:space="preserve">REQ-005</t>
  </si>
  <si>
    <t xml:space="preserve">Captura conversacional de ideas y consolidación</t>
  </si>
  <si>
    <t xml:space="preserve">Orquestador conversacional con máquina de estados, paráfrasis, confirmación y consolidación sin pérdida — núcleo del sistema</t>
  </si>
  <si>
    <t xml:space="preserve">REQ-006</t>
  </si>
  <si>
    <t xml:space="preserve">Rúbricas, prompts versionados y configuración LLM</t>
  </si>
  <si>
    <t xml:space="preserve">Rúbrica Markdown parametrizable, versionado y aprobación de prompts, config de proveedor LLM, custodia segura de API key</t>
  </si>
  <si>
    <t xml:space="preserve">REQ-007</t>
  </si>
  <si>
    <t xml:space="preserve">Evaluación de ideas con LLM y retroalimentación</t>
  </si>
  <si>
    <t xml:space="preserve">Motor de evaluación por rúbrica, retro breve, máx. una repregunta, snapshots reproducibles para auditoría</t>
  </si>
  <si>
    <t xml:space="preserve">REQ-008</t>
  </si>
  <si>
    <t xml:space="preserve">Compilación de artefactos Markdown por idea</t>
  </si>
  <si>
    <t xml:space="preserve">Generador de Markdown canónico con trazabilidad, consultable y regenerable</t>
  </si>
  <si>
    <t xml:space="preserve">REQ-009</t>
  </si>
  <si>
    <t xml:space="preserve">Portal administrativo Angular con marca GHT</t>
  </si>
  <si>
    <t xml:space="preserve">SPA Angular con marca GHT: usuarios, campañas, configuración y resultados (~19.400 líneas en ElTejido.Web)</t>
  </si>
  <si>
    <t xml:space="preserve">REQ-010</t>
  </si>
  <si>
    <t xml:space="preserve">Seguridad, guardrails, trazabilidad y observabilidad</t>
  </si>
  <si>
    <t xml:space="preserve">Rate limiting, anti prompt-injection, firma de webhook, no fuga de secretos, telemetría y logs de seguridad</t>
  </si>
  <si>
    <t xml:space="preserve">Subtotal funcional</t>
  </si>
  <si>
    <t xml:space="preserve">TRANSV-1</t>
  </si>
  <si>
    <t xml:space="preserve">QA y pruebas automatizadas transversales</t>
  </si>
  <si>
    <t xml:space="preserve">~23.200 líneas de test en 3 proyectos (unitarias, integración, calibración)</t>
  </si>
  <si>
    <t xml:space="preserve">TRANSV-2</t>
  </si>
  <si>
    <t xml:space="preserve">Documentación técnica, contratos de API y gestión</t>
  </si>
  <si>
    <t xml:space="preserve">Especificaciones base, ARQ, contratos, coordinación y reporte diario del sprint</t>
  </si>
  <si>
    <t xml:space="preserve">TOTAL MVP BASE</t>
  </si>
  <si>
    <t xml:space="preserve">Contraste con lo facturado</t>
  </si>
  <si>
    <t xml:space="preserve">Precio cerrado cobrado por el sprint MVP (Propuesta Económica §5.1)</t>
  </si>
  <si>
    <t xml:space="preserve">Ratio precio cobrado / costo de reposición de mercado</t>
  </si>
  <si>
    <t xml:space="preserve">Horas reales estimadas del sprint (evidencia git: 11 días activos, cadencia intensiva)</t>
  </si>
  <si>
    <t xml:space="preserve">Nota: la fila D19 mide qué costaría reconstruirlo con un equipo convencional; no es lo que se debe cobrar.</t>
  </si>
  <si>
    <t xml:space="preserve">Resto — trabajo ya ejecutado (post-MVP)</t>
  </si>
  <si>
    <t xml:space="preserve">14 jul – 10 ago 2026 · 128 commits · 39.826 líneas insertadas / 1.901 eliminadas en src+tests · 'LOC medida' = churn atribuido por ID en el mensaje de commit</t>
  </si>
  <si>
    <t xml:space="preserve">ID nativo</t>
  </si>
  <si>
    <t xml:space="preserve">REQ</t>
  </si>
  <si>
    <t xml:space="preserve">Iniciativa</t>
  </si>
  <si>
    <t xml:space="preserve">Estado (hoja Estado)</t>
  </si>
  <si>
    <t xml:space="preserve">LOC medida</t>
  </si>
  <si>
    <t xml:space="preserve">Base de la estimación</t>
  </si>
  <si>
    <t xml:space="preserve">A. Desarrollado — registrado en la hoja Estado</t>
  </si>
  <si>
    <t xml:space="preserve">I-19</t>
  </si>
  <si>
    <t xml:space="preserve">REQ-037</t>
  </si>
  <si>
    <t xml:space="preserve">Consolidación progresiva de ideas</t>
  </si>
  <si>
    <t xml:space="preserve">Desarrollado</t>
  </si>
  <si>
    <t xml:space="preserve">XXL. Idea canónica con versionado, reapertura, encolado, Markdown y API por idea, observabilidad de costo. 18 commits.</t>
  </si>
  <si>
    <t xml:space="preserve">I-18</t>
  </si>
  <si>
    <t xml:space="preserve">REQ-036</t>
  </si>
  <si>
    <t xml:space="preserve">Coaching secuencial por idea</t>
  </si>
  <si>
    <t xml:space="preserve">L. Cola de ideas, contador y revisiones enlazadas.</t>
  </si>
  <si>
    <t xml:space="preserve">P-15</t>
  </si>
  <si>
    <t xml:space="preserve">REQ-027</t>
  </si>
  <si>
    <t xml:space="preserve">Refactor del orquestador conversacional</t>
  </si>
  <si>
    <t xml:space="preserve">L. Remediación CAL-001: 3 cortes, extracción de política, transición y efectos.</t>
  </si>
  <si>
    <t xml:space="preserve">I-20</t>
  </si>
  <si>
    <t xml:space="preserve">REQ-038</t>
  </si>
  <si>
    <t xml:space="preserve">Redacción fluida + Markdown ejecutivo</t>
  </si>
  <si>
    <t xml:space="preserve">L. Redactor LLM por acto con guardas deterministas; 4 cortes.</t>
  </si>
  <si>
    <t xml:space="preserve">I-17</t>
  </si>
  <si>
    <t xml:space="preserve">REQ-025</t>
  </si>
  <si>
    <t xml:space="preserve">BD de dos niveles de madurez + cierre por inactividad</t>
  </si>
  <si>
    <t xml:space="preserve">M-L. Backend + portal; umbral configurable.</t>
  </si>
  <si>
    <t xml:space="preserve">I-06</t>
  </si>
  <si>
    <t xml:space="preserve">REQ-019</t>
  </si>
  <si>
    <t xml:space="preserve">Multi-idea (N registros por participante)</t>
  </si>
  <si>
    <t xml:space="preserve">M. Segmentación de múltiples ideas por mensaje; churn parcialmente fuera de la ventana medida.</t>
  </si>
  <si>
    <t xml:space="preserve">P-16</t>
  </si>
  <si>
    <t xml:space="preserve">REQ-029</t>
  </si>
  <si>
    <t xml:space="preserve">Refactor de página de campañas</t>
  </si>
  <si>
    <t xml:space="preserve">M. Remediación CAL-002; 1.063 add / 963 del = reescritura.</t>
  </si>
  <si>
    <t xml:space="preserve">P-25</t>
  </si>
  <si>
    <t xml:space="preserve">REQ-040</t>
  </si>
  <si>
    <t xml:space="preserve">Coaching directo sin confirmación repetitiva</t>
  </si>
  <si>
    <t xml:space="preserve">n.d.</t>
  </si>
  <si>
    <t xml:space="preserve">M. Cambio de flujo transversal; 583/583 tests.</t>
  </si>
  <si>
    <t xml:space="preserve">I-03</t>
  </si>
  <si>
    <t xml:space="preserve">REQ-023</t>
  </si>
  <si>
    <t xml:space="preserve">Follow-ups al eje débil de la rúbrica</t>
  </si>
  <si>
    <t xml:space="preserve">S-M. Foco al eje débil sin revelar la rúbrica + filtro anti-fuga.</t>
  </si>
  <si>
    <t xml:space="preserve">P-03</t>
  </si>
  <si>
    <t xml:space="preserve">REQ-015</t>
  </si>
  <si>
    <t xml:space="preserve">Reinicio de datos por participante/campaña</t>
  </si>
  <si>
    <t xml:space="preserve">M. Herramienta interna de purga conservando configuración.</t>
  </si>
  <si>
    <t xml:space="preserve">P-21</t>
  </si>
  <si>
    <t xml:space="preserve">REQ-033</t>
  </si>
  <si>
    <t xml:space="preserve">Multi-número de WhatsApp</t>
  </si>
  <si>
    <t xml:space="preserve">S-M. Enrutamiento por número entrante; 473/473 tests.</t>
  </si>
  <si>
    <t xml:space="preserve">I-05</t>
  </si>
  <si>
    <t xml:space="preserve">REQ-021</t>
  </si>
  <si>
    <t xml:space="preserve">Paráfrasis y transparencia</t>
  </si>
  <si>
    <t xml:space="preserve">S. Paráfrasis por campaña con kill-switch.</t>
  </si>
  <si>
    <t xml:space="preserve">P-13</t>
  </si>
  <si>
    <t xml:space="preserve">REQ-024</t>
  </si>
  <si>
    <t xml:space="preserve">Umbral de cierre por campaña</t>
  </si>
  <si>
    <t xml:space="preserve">S. Override por campaña + kill-switch.</t>
  </si>
  <si>
    <t xml:space="preserve">P-14</t>
  </si>
  <si>
    <t xml:space="preserve">REQ-026</t>
  </si>
  <si>
    <t xml:space="preserve">Vista de solo lectura de rúbricas y prompts</t>
  </si>
  <si>
    <t xml:space="preserve">S. Frontend-only.</t>
  </si>
  <si>
    <t xml:space="preserve">I-16</t>
  </si>
  <si>
    <t xml:space="preserve">REQ-018</t>
  </si>
  <si>
    <t xml:space="preserve">Fix de calificación en Markdown</t>
  </si>
  <si>
    <t xml:space="preserve">XS. Bug: usar la evaluación más reciente.</t>
  </si>
  <si>
    <t xml:space="preserve">Subtotal</t>
  </si>
  <si>
    <t xml:space="preserve">B. En curso / en pruebas — registrado en la hoja Estado</t>
  </si>
  <si>
    <t xml:space="preserve">P-26</t>
  </si>
  <si>
    <t xml:space="preserve">REQ-041</t>
  </si>
  <si>
    <t xml:space="preserve">Campañas continuas y selección de campaña/pregunta</t>
  </si>
  <si>
    <t xml:space="preserve">En pruebas</t>
  </si>
  <si>
    <t xml:space="preserve">XXL. 6 cortes: dominio, resolución multi-campaña, selección de pregunta, cupos móviles 24h, portal, observabilidad.</t>
  </si>
  <si>
    <t xml:space="preserve">I-08</t>
  </si>
  <si>
    <t xml:space="preserve">REQ-022</t>
  </si>
  <si>
    <t xml:space="preserve">Carga masiva de participantes (v1 + v2)</t>
  </si>
  <si>
    <t xml:space="preserve">En curso</t>
  </si>
  <si>
    <t xml:space="preserve">XL. Backend + portal + plantilla oficial + conflictos + ficha de usuario. 2 versiones.</t>
  </si>
  <si>
    <t xml:space="preserve">P-27</t>
  </si>
  <si>
    <t xml:space="preserve">REQ-042</t>
  </si>
  <si>
    <t xml:space="preserve">Clasificación de intenciones de control</t>
  </si>
  <si>
    <t xml:space="preserve">L. Alias deterministas + clasificador LLM opt-in; 5 cortes.</t>
  </si>
  <si>
    <t xml:space="preserve">P-30</t>
  </si>
  <si>
    <t xml:space="preserve">REQ-014</t>
  </si>
  <si>
    <t xml:space="preserve">Reanudación de ideas anteriores</t>
  </si>
  <si>
    <t xml:space="preserve">L. 3 cortes; iniciada 05-ago.</t>
  </si>
  <si>
    <t xml:space="preserve">P-29</t>
  </si>
  <si>
    <t xml:space="preserve">REQ-013</t>
  </si>
  <si>
    <t xml:space="preserve">Cierre conversacional por tiempo</t>
  </si>
  <si>
    <t xml:space="preserve">M. 2 cortes; voz humana + telemetría del aviso de pausa.</t>
  </si>
  <si>
    <t xml:space="preserve">P-28</t>
  </si>
  <si>
    <t xml:space="preserve">REQ-012</t>
  </si>
  <si>
    <t xml:space="preserve">Reactivación / despertar proactivo del coach</t>
  </si>
  <si>
    <t xml:space="preserve">M. Saludo/inicio breve sin crear idea.</t>
  </si>
  <si>
    <t xml:space="preserve">C. Ejecutado pero AUSENTE de la hoja Estado — riesgo de fuga de facturación</t>
  </si>
  <si>
    <t xml:space="preserve">P-32</t>
  </si>
  <si>
    <t xml:space="preserve">—</t>
  </si>
  <si>
    <t xml:space="preserve">Corte 2 (iniciativa en curso, 10-ago)</t>
  </si>
  <si>
    <t xml:space="preserve">No registrado</t>
  </si>
  <si>
    <t xml:space="preserve">L-XL. 2.708 líneas insertadas el 10-ago; sin fila en la hoja.</t>
  </si>
  <si>
    <t xml:space="preserve">D5</t>
  </si>
  <si>
    <t xml:space="preserve">REQ-016</t>
  </si>
  <si>
    <t xml:space="preserve">Banco de calibración de la evaluación</t>
  </si>
  <si>
    <t xml:space="preserve">M. Librería + golden set (24 casos) + runner; proyecto ElTejido.Calibracion.</t>
  </si>
  <si>
    <t xml:space="preserve">P-10</t>
  </si>
  <si>
    <t xml:space="preserve">REQ-017</t>
  </si>
  <si>
    <t xml:space="preserve">Guardrails: cupos, rate por número y costo LLM</t>
  </si>
  <si>
    <t xml:space="preserve">M. Backend hecho; portal pendiente.</t>
  </si>
  <si>
    <t xml:space="preserve">P-31</t>
  </si>
  <si>
    <t xml:space="preserve">Resumen de consolidación por umbral</t>
  </si>
  <si>
    <t xml:space="preserve">M. Especificada 06-ago; E2E cerrado 07-ago. Choca de ID con REQ-052 'Manuales' en la hoja.</t>
  </si>
  <si>
    <t xml:space="preserve">P-09</t>
  </si>
  <si>
    <t xml:space="preserve">REQ-050</t>
  </si>
  <si>
    <t xml:space="preserve">Monitoreo día D (health-check + runbook)</t>
  </si>
  <si>
    <t xml:space="preserve">S-M. Panel diferido; se conservan health-check y runbook.</t>
  </si>
  <si>
    <t xml:space="preserve">P-24</t>
  </si>
  <si>
    <t xml:space="preserve">REQ-039</t>
  </si>
  <si>
    <t xml:space="preserve">Evaluación implícita al solicitar mejora</t>
  </si>
  <si>
    <t xml:space="preserve">S-M. Bug de flujo; 579/579 tests.</t>
  </si>
  <si>
    <t xml:space="preserve">P-23</t>
  </si>
  <si>
    <t xml:space="preserve">REQ-035</t>
  </si>
  <si>
    <t xml:space="preserve">UX de resultados (maestro-detalle)</t>
  </si>
  <si>
    <t xml:space="preserve">S. Frontend-only; 24/24 tests.</t>
  </si>
  <si>
    <t xml:space="preserve">P-17</t>
  </si>
  <si>
    <t xml:space="preserve">REQ-028</t>
  </si>
  <si>
    <t xml:space="preserve">Errores de API uniformes</t>
  </si>
  <si>
    <t xml:space="preserve">S. Remediación API-001.</t>
  </si>
  <si>
    <t xml:space="preserve">P-22</t>
  </si>
  <si>
    <t xml:space="preserve">REQ-034</t>
  </si>
  <si>
    <t xml:space="preserve">UX de campañas</t>
  </si>
  <si>
    <t xml:space="preserve">S. Frontend-only; 21/21 tests.</t>
  </si>
  <si>
    <t xml:space="preserve">P-18</t>
  </si>
  <si>
    <t xml:space="preserve">REQ-030</t>
  </si>
  <si>
    <t xml:space="preserve">Controles con nombre accesible</t>
  </si>
  <si>
    <t xml:space="preserve">XS-S. Accesibilidad UXA11Y-001.</t>
  </si>
  <si>
    <t xml:space="preserve">P-19</t>
  </si>
  <si>
    <t xml:space="preserve">REQ-031</t>
  </si>
  <si>
    <t xml:space="preserve">Estados dinámicos accesibles</t>
  </si>
  <si>
    <t xml:space="preserve">XS-S. Accesibilidad UXA11Y-002.</t>
  </si>
  <si>
    <t xml:space="preserve">P-20</t>
  </si>
  <si>
    <t xml:space="preserve">REQ-032</t>
  </si>
  <si>
    <t xml:space="preserve">Pestañas accesibles de campañas</t>
  </si>
  <si>
    <t xml:space="preserve">XS-S. Accesibilidad UXA11Y-003.</t>
  </si>
  <si>
    <t xml:space="preserve">D. Esfuerzo transversal ejecutado — no atribuible a una sola iniciativa</t>
  </si>
  <si>
    <t xml:space="preserve">QAS</t>
  </si>
  <si>
    <t xml:space="preserve">Campaña de pruebas E2E conversacionales</t>
  </si>
  <si>
    <t xml:space="preserve">Ejecutado</t>
  </si>
  <si>
    <t xml:space="preserve">18 archivos en /QAS: guías ejecutables, datos, auditoría y corridas contra Azure (13 PASS).</t>
  </si>
  <si>
    <t xml:space="preserve">DOC</t>
  </si>
  <si>
    <t xml:space="preserve">Especificación y gobierno del backlog</t>
  </si>
  <si>
    <t xml:space="preserve">51 specs de iniciativa + documentos de requerimiento + hoja de seguimiento.</t>
  </si>
  <si>
    <t xml:space="preserve">TOTAL RESTO EJECUTADO</t>
  </si>
  <si>
    <t xml:space="preserve">Resto — backlog diferido (aún no ejecutado)</t>
  </si>
  <si>
    <t xml:space="preserve">Estimación prospectiva a precios de mercado. Es la base de la conversación de renovación con GHT.</t>
  </si>
  <si>
    <t xml:space="preserve">Supuesto / bloqueo</t>
  </si>
  <si>
    <t xml:space="preserve">P-05</t>
  </si>
  <si>
    <t xml:space="preserve">REQ-046</t>
  </si>
  <si>
    <t xml:space="preserve">Capa de insights</t>
  </si>
  <si>
    <t xml:space="preserve">Extracción de hallazgos y patrones sobre el corpus de ideas. Requiere definir preguntas de negocio; alto componente de LLM y validación.</t>
  </si>
  <si>
    <t xml:space="preserve">REQ-053</t>
  </si>
  <si>
    <t xml:space="preserve">Multidioma (inglés en el chatbot)</t>
  </si>
  <si>
    <t xml:space="preserve">Toca plantilla HSM aprobada, prompts, vocabularios deterministas de intención y contenido de campaña. Aún sin especificar — estimación de rango alto.</t>
  </si>
  <si>
    <t xml:space="preserve">P-04</t>
  </si>
  <si>
    <t xml:space="preserve">REQ-045</t>
  </si>
  <si>
    <t xml:space="preserve">Dashboard de resultados</t>
  </si>
  <si>
    <t xml:space="preserve">Tablero visual en el portal. Frontend + endpoints de agregación.</t>
  </si>
  <si>
    <t xml:space="preserve">I-09</t>
  </si>
  <si>
    <t xml:space="preserve">REQ-020</t>
  </si>
  <si>
    <t xml:space="preserve">Tejido colectivo</t>
  </si>
  <si>
    <t xml:space="preserve">Core ya implementado con flag OFF; restan ~40 h de Capa 3 + UI + validación de anonimización.</t>
  </si>
  <si>
    <t xml:space="preserve">P-06</t>
  </si>
  <si>
    <t xml:space="preserve">REQ-047</t>
  </si>
  <si>
    <t xml:space="preserve">Destilación por lotes</t>
  </si>
  <si>
    <t xml:space="preserve">Procesamiento batch de grandes volúmenes. Requiere control de costo LLM.</t>
  </si>
  <si>
    <t xml:space="preserve">P-11</t>
  </si>
  <si>
    <t xml:space="preserve">REQ-051</t>
  </si>
  <si>
    <t xml:space="preserve">Informe consolidado</t>
  </si>
  <si>
    <t xml:space="preserve">Informe por campaña; depende de P-04/P-05 para no duplicar agregaciones.</t>
  </si>
  <si>
    <t xml:space="preserve">P-08</t>
  </si>
  <si>
    <t xml:space="preserve">REQ-049</t>
  </si>
  <si>
    <t xml:space="preserve">Recordatorios / nudges</t>
  </si>
  <si>
    <t xml:space="preserve">Bloqueado: requiere plantilla HSM aprobada por Meta.</t>
  </si>
  <si>
    <t xml:space="preserve">REQ-052</t>
  </si>
  <si>
    <t xml:space="preserve">Manuales de parametrización</t>
  </si>
  <si>
    <t xml:space="preserve">Documentación de funcionamiento y configuración. Ojo: el ID REQ-052 también se usó para P-31 en el estado de agosto.</t>
  </si>
  <si>
    <t xml:space="preserve">I-12</t>
  </si>
  <si>
    <t xml:space="preserve">REQ-043</t>
  </si>
  <si>
    <t xml:space="preserve">Seed thoughts por campaña</t>
  </si>
  <si>
    <t xml:space="preserve">BLOQUEADO: insumo de seeds vencido; escalar a Felipe.</t>
  </si>
  <si>
    <t xml:space="preserve">I-10</t>
  </si>
  <si>
    <t xml:space="preserve">REQ-044</t>
  </si>
  <si>
    <t xml:space="preserve">Flag base previa vs. en blanco</t>
  </si>
  <si>
    <t xml:space="preserve">Diferida con I-09 a Capa 3; campo ya en el modelo, OFF.</t>
  </si>
  <si>
    <t xml:space="preserve">P-07</t>
  </si>
  <si>
    <t xml:space="preserve">REQ-048</t>
  </si>
  <si>
    <t xml:space="preserve">Consentimiento de datos</t>
  </si>
  <si>
    <t xml:space="preserve">Diferida por ser herramienta interna (IP de GHT). Revisar exposición legal antes de descartar.</t>
  </si>
  <si>
    <t xml:space="preserve">TOTAL BACKLOG DIFERIDO</t>
  </si>
  <si>
    <t xml:space="preserve">Equivalente a tarifa contractual aplicando el factor de compresión por IA (6,3x):</t>
  </si>
  <si>
    <t xml:space="preserve">Base de cálculo, evidencia y supuestos</t>
  </si>
  <si>
    <t xml:space="preserve">1. Evidencia medida en el repositorio (git, corte 2026-08-10)</t>
  </si>
  <si>
    <t xml:space="preserve">Commits totales</t>
  </si>
  <si>
    <t xml:space="preserve">209</t>
  </si>
  <si>
    <t xml:space="preserve">Fuente: git log</t>
  </si>
  <si>
    <t xml:space="preserve">Días con actividad de commit</t>
  </si>
  <si>
    <t xml:space="preserve">34</t>
  </si>
  <si>
    <t xml:space="preserve">11 en jun, 15 en jul, 8 en ago</t>
  </si>
  <si>
    <t xml:space="preserve">Líneas de código en src/ (6 proyectos)</t>
  </si>
  <si>
    <t xml:space="preserve">56.088</t>
  </si>
  <si>
    <t xml:space="preserve">Api 4.262 · Application 17.579 · Domain 4.199 · Infrastructure 9.891 · Web 19.385 · Calibracion 772</t>
  </si>
  <si>
    <t xml:space="preserve">Líneas de código en tests/ (3 proyectos)</t>
  </si>
  <si>
    <t xml:space="preserve">23.223</t>
  </si>
  <si>
    <t xml:space="preserve">UnitTests 16.334 · IntegrationTests 6.610 · Calibracion 279</t>
  </si>
  <si>
    <t xml:space="preserve">Archivos fuente versionados</t>
  </si>
  <si>
    <t xml:space="preserve">431 .cs + 37 .ts + 6 html/scss</t>
  </si>
  <si>
    <t xml:space="preserve">MVP (12–24 jun): churn en src+tests</t>
  </si>
  <si>
    <t xml:space="preserve">+30.057 / -46 en 319 archivos</t>
  </si>
  <si>
    <t xml:space="preserve">git diff root..último commit de junio</t>
  </si>
  <si>
    <t xml:space="preserve">Post-MVP (24 jun–10 ago): churn en src+tests</t>
  </si>
  <si>
    <t xml:space="preserve">+39.826 / -1.901 en 300 archivos</t>
  </si>
  <si>
    <t xml:space="preserve">git diff último-junio..HEAD</t>
  </si>
  <si>
    <t xml:space="preserve">2. Método de estimación</t>
  </si>
  <si>
    <t xml:space="preserve">Paso 1</t>
  </si>
  <si>
    <t xml:space="preserve">Sizing por iniciativa</t>
  </si>
  <si>
    <t xml:space="preserve">T-shirt sizing calibrado contra el churn real atribuido por ID en el mensaje de commit (ventana 20-jul a 10-ago, 113 commits parseados).</t>
  </si>
  <si>
    <t xml:space="preserve">Paso 2</t>
  </si>
  <si>
    <t xml:space="preserve">Bandas aplicadas</t>
  </si>
  <si>
    <t xml:space="preserve">XS &lt;200 LOC = 8-12 h · S 200-500 = 16-24 h · M 500-1.200 = 32-40 h · L 1.200-2.500 = 48-56 h · XL 2.500-5.000 = 90-110 h · XXL &gt;5.000 = 130 h</t>
  </si>
  <si>
    <t xml:space="preserve">Paso 3</t>
  </si>
  <si>
    <t xml:space="preserve">Validación cruzada</t>
  </si>
  <si>
    <t xml:space="preserve">Productividad implícita ≈ 33 LOC entregadas por hora, consistente entre MVP (924 h / 30.057 LOC) y post-MVP (1.360 h / 39.826 LOC).</t>
  </si>
  <si>
    <t xml:space="preserve">Paso 4</t>
  </si>
  <si>
    <t xml:space="preserve">Transversales</t>
  </si>
  <si>
    <t xml:space="preserve">QA automatizada, documentación, contratos de API y gestión se estiman aparte porque atraviesan todas las iniciativas.</t>
  </si>
  <si>
    <t xml:space="preserve">3. Supuestos que hay que validar contigo</t>
  </si>
  <si>
    <t xml:space="preserve">Tarifa de mercado USD 120/h: blended nearshore para .NET 8 + Angular + integración LLM. Si el comparador es una fábrica local, baja a USD 60-80/h; si es consultoría tier-1, sube a USD 160-200/h.</t>
  </si>
  <si>
    <t xml:space="preserve">Horas reales: 100 h para el MVP y 260 h post-MVP, inferidas de la cadencia de commits (34 días activos, ~1,2 FTE). NO son horas registradas en un timesheet.</t>
  </si>
  <si>
    <t xml:space="preserve">Factor de compresión 6,3x: cociente entre horas de mercado y horas reales. Es el supuesto más sensible de todo el modelo.</t>
  </si>
  <si>
    <t xml:space="preserve">Las horas de mercado miden COSTO DE REPOSICIÓN, no precio de venta. No deben presentarse a GHT como una factura.</t>
  </si>
  <si>
    <t xml:space="preserve">El backlog diferido asume alcance tal como está especificado hoy; REQ-053 (multidioma) no tiene spec cerrada y su rango real puede ser 60-140 h.</t>
  </si>
  <si>
    <t xml:space="preserve">4. Hallazgos de control detectados en Seguimiento_Requerimientos.xlsx</t>
  </si>
  <si>
    <t xml:space="preserve">La hoja 'Estado' tiene 41 filas pero omite REQ-010 (Seguridad y guardrails), que sí está en la hoja 'Alcance inicial' y en el estado del 04-ago. El MVP base queda subrepresentado en 1 requerimiento.</t>
  </si>
  <si>
    <t xml:space="preserve">12 iniciativas ya ejecutadas no tienen fila en la hoja 'Estado': D5, P-07, P-09, P-10, P-17, P-18, P-19, P-20, P-22, P-23, P-24, P-31/P-32. Son ~304 h de mercado sin registro de seguimiento.</t>
  </si>
  <si>
    <t xml:space="preserve">Colisión de ID: REQ-052 se usa para 'Manuales de parametrización' en la hoja Estado y para P-31 en el documento de estado del 06-ago.</t>
  </si>
  <si>
    <t xml:space="preserve">Las columnas Estimación (h), Horas reales, Tarifa/h y Valor estimado están vacías en las tres hojas de seguimiento. Sin ellas el modelo T&amp;M no es auditable ni cobrable.</t>
  </si>
  <si>
    <t xml:space="preserve">La hoja 'Resumen' reporta 40 iniciativas con 0 horas y USD 0 de valor. Hoy el instrumento de control comercial no soporta ninguna factura.</t>
  </si>
  <si>
    <t xml:space="preserve">La regla de oro del README ('nada se ejecuta sin estado Aprobado y evidencia') no se está cumpliendo: la carpeta Aprobaciones/ está vacía y hay 33 iniciativas ejecutadas.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</si>
</sst>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\$#,##0.00"/>
    <numFmt numFmtId="167" formatCode="#,##0"/>
    <numFmt numFmtId="168" formatCode="0.0\x"/>
    <numFmt numFmtId="169" formatCode="0%"/>
    <numFmt numFmtId="170" formatCode="0.00"/>
    <numFmt numFmtId="171" formatCode="0"/>
    <numFmt numFmtId="172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CE4D6"/>
      </patternFill>
    </fill>
    <fill>
      <patternFill patternType="solid">
        <fgColor rgb="FFFCE4D6"/>
        <bgColor rgb="FFD9E2F3"/>
      </patternFill>
    </fill>
    <fill>
      <patternFill patternType="solid">
        <fgColor rgb="FFC6E0B4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120</v>
      </c>
      <c r="C5" s="2" t="s">
        <v>4</v>
      </c>
    </row>
    <row r="6" customFormat="false" ht="15" hidden="false" customHeight="false" outlineLevel="0" collapsed="false">
      <c r="A6" s="4" t="s">
        <v>5</v>
      </c>
      <c r="B6" s="6" t="n">
        <v>121.88</v>
      </c>
      <c r="C6" s="2" t="s">
        <v>6</v>
      </c>
    </row>
    <row r="7" customFormat="false" ht="15" hidden="false" customHeight="false" outlineLevel="0" collapsed="false">
      <c r="A7" s="4" t="s">
        <v>7</v>
      </c>
      <c r="B7" s="7" t="n">
        <v>160</v>
      </c>
      <c r="C7" s="2" t="s">
        <v>8</v>
      </c>
    </row>
    <row r="8" customFormat="false" ht="15" hidden="false" customHeight="false" outlineLevel="0" collapsed="false">
      <c r="A8" s="4" t="s">
        <v>9</v>
      </c>
      <c r="B8" s="8" t="n">
        <v>6.3</v>
      </c>
      <c r="C8" s="2" t="s">
        <v>10</v>
      </c>
    </row>
    <row r="11" customFormat="false" ht="15" hidden="false" customHeight="false" outlineLevel="0" collapsed="false">
      <c r="A11" s="3" t="s">
        <v>11</v>
      </c>
    </row>
    <row r="12" customFormat="false" ht="15" hidden="false" customHeight="false" outlineLevel="0" collapsed="false">
      <c r="A12" s="2" t="s">
        <v>12</v>
      </c>
    </row>
    <row r="13" customFormat="false" ht="15" hidden="false" customHeight="false" outlineLevel="0" collapsed="false">
      <c r="A13" s="9" t="s">
        <v>13</v>
      </c>
      <c r="B13" s="9" t="s">
        <v>14</v>
      </c>
      <c r="C13" s="9" t="s">
        <v>15</v>
      </c>
      <c r="D13" s="9" t="s">
        <v>16</v>
      </c>
    </row>
    <row r="14" customFormat="false" ht="15" hidden="false" customHeight="false" outlineLevel="0" collapsed="false">
      <c r="A14" s="10" t="s">
        <v>17</v>
      </c>
      <c r="B14" s="11" t="n">
        <f aca="false">'MVP base'!D19</f>
        <v>924</v>
      </c>
      <c r="C14" s="12" t="n">
        <f aca="false">B14*$B$5</f>
        <v>110880</v>
      </c>
      <c r="D14" s="13" t="n">
        <f aca="false">C14/$C$18</f>
        <v>0.324210526315789</v>
      </c>
    </row>
    <row r="15" customFormat="false" ht="15" hidden="false" customHeight="false" outlineLevel="0" collapsed="false">
      <c r="A15" s="10" t="s">
        <v>18</v>
      </c>
      <c r="B15" s="11" t="n">
        <f aca="false">'Resto ejecutado'!F52</f>
        <v>1360</v>
      </c>
      <c r="C15" s="12" t="n">
        <f aca="false">B15*$B$5</f>
        <v>163200</v>
      </c>
      <c r="D15" s="13" t="n">
        <f aca="false">C15/$C$18</f>
        <v>0.47719298245614</v>
      </c>
    </row>
    <row r="16" customFormat="false" ht="15" hidden="false" customHeight="false" outlineLevel="0" collapsed="false">
      <c r="A16" s="10" t="s">
        <v>19</v>
      </c>
      <c r="B16" s="11" t="n">
        <f aca="false">'Resto diferido'!D16</f>
        <v>566</v>
      </c>
      <c r="C16" s="12" t="n">
        <f aca="false">B16*$B$5</f>
        <v>67920</v>
      </c>
      <c r="D16" s="13" t="n">
        <f aca="false">C16/$C$18</f>
        <v>0.19859649122807</v>
      </c>
    </row>
    <row r="17" customFormat="false" ht="15" hidden="false" customHeight="false" outlineLevel="0" collapsed="false">
      <c r="A17" s="14" t="s">
        <v>20</v>
      </c>
      <c r="B17" s="15" t="n">
        <f aca="false">SUM(B14:B15)</f>
        <v>2284</v>
      </c>
      <c r="C17" s="16" t="n">
        <f aca="false">SUM(C14:C15)</f>
        <v>274080</v>
      </c>
      <c r="D17" s="17" t="n">
        <f aca="false">C17/C18</f>
        <v>0.80140350877193</v>
      </c>
    </row>
    <row r="18" customFormat="false" ht="15" hidden="false" customHeight="false" outlineLevel="0" collapsed="false">
      <c r="A18" s="14" t="s">
        <v>21</v>
      </c>
      <c r="B18" s="15" t="n">
        <f aca="false">SUM(B14:B16)</f>
        <v>2850</v>
      </c>
      <c r="C18" s="16" t="n">
        <f aca="false">SUM(C14:C16)</f>
        <v>342000</v>
      </c>
      <c r="D18" s="17" t="n">
        <v>1</v>
      </c>
    </row>
    <row r="21" customFormat="false" ht="15" hidden="false" customHeight="false" outlineLevel="0" collapsed="false">
      <c r="A21" s="3" t="s">
        <v>22</v>
      </c>
    </row>
    <row r="22" customFormat="false" ht="15" hidden="false" customHeight="false" outlineLevel="0" collapsed="false">
      <c r="A22" s="2" t="s">
        <v>23</v>
      </c>
    </row>
    <row r="23" customFormat="false" ht="23.85" hidden="false" customHeight="false" outlineLevel="0" collapsed="false">
      <c r="A23" s="18" t="s">
        <v>24</v>
      </c>
      <c r="B23" s="18" t="s">
        <v>25</v>
      </c>
      <c r="C23" s="18" t="s">
        <v>26</v>
      </c>
      <c r="D23" s="18" t="s">
        <v>15</v>
      </c>
      <c r="E23" s="18" t="s">
        <v>27</v>
      </c>
    </row>
    <row r="24" customFormat="false" ht="15" hidden="false" customHeight="false" outlineLevel="0" collapsed="false">
      <c r="A24" s="10" t="s">
        <v>28</v>
      </c>
      <c r="B24" s="11" t="n">
        <v>100</v>
      </c>
      <c r="C24" s="19" t="n">
        <f aca="false">B24/$B$7</f>
        <v>0.625</v>
      </c>
      <c r="D24" s="12" t="n">
        <f aca="false">B24*$B$6</f>
        <v>12188</v>
      </c>
      <c r="E24" s="10" t="s">
        <v>29</v>
      </c>
    </row>
    <row r="25" customFormat="false" ht="15" hidden="false" customHeight="false" outlineLevel="0" collapsed="false">
      <c r="A25" s="10" t="s">
        <v>30</v>
      </c>
      <c r="B25" s="11" t="n">
        <v>260</v>
      </c>
      <c r="C25" s="19" t="n">
        <f aca="false">B25/$B$7</f>
        <v>1.625</v>
      </c>
      <c r="D25" s="12" t="n">
        <f aca="false">B25*$B$6</f>
        <v>31688.8</v>
      </c>
      <c r="E25" s="20" t="s">
        <v>31</v>
      </c>
    </row>
    <row r="26" customFormat="false" ht="15" hidden="false" customHeight="false" outlineLevel="0" collapsed="false">
      <c r="A26" s="14" t="s">
        <v>32</v>
      </c>
      <c r="B26" s="15" t="n">
        <f aca="false">SUM(B24:B25)</f>
        <v>360</v>
      </c>
      <c r="C26" s="21" t="n">
        <f aca="false">SUM(C24:C25)</f>
        <v>2.25</v>
      </c>
      <c r="D26" s="16" t="n">
        <f aca="false">SUM(D24:D25)</f>
        <v>43876.8</v>
      </c>
    </row>
    <row r="27" customFormat="false" ht="15" hidden="false" customHeight="false" outlineLevel="0" collapsed="false">
      <c r="A27" s="4" t="s">
        <v>33</v>
      </c>
      <c r="D27" s="22" t="n">
        <v>9750</v>
      </c>
    </row>
    <row r="28" customFormat="false" ht="15" hidden="false" customHeight="false" outlineLevel="0" collapsed="false">
      <c r="A28" s="23" t="s">
        <v>34</v>
      </c>
      <c r="D28" s="24" t="n">
        <f aca="false">D26-D27</f>
        <v>34126.8</v>
      </c>
    </row>
    <row r="31" customFormat="false" ht="15" hidden="false" customHeight="false" outlineLevel="0" collapsed="false">
      <c r="A31" s="3" t="s">
        <v>35</v>
      </c>
    </row>
    <row r="32" customFormat="false" ht="15" hidden="false" customHeight="false" outlineLevel="0" collapsed="false">
      <c r="A32" s="4" t="s">
        <v>36</v>
      </c>
    </row>
    <row r="33" customFormat="false" ht="15" hidden="false" customHeight="false" outlineLevel="0" collapsed="false">
      <c r="A33" s="4" t="s">
        <v>37</v>
      </c>
    </row>
    <row r="34" customFormat="false" ht="15" hidden="false" customHeight="false" outlineLevel="0" collapsed="false">
      <c r="A34" s="4" t="s">
        <v>38</v>
      </c>
    </row>
    <row r="35" customFormat="false" ht="15" hidden="false" customHeight="false" outlineLevel="0" collapsed="false">
      <c r="A35" s="4" t="s">
        <v>39</v>
      </c>
    </row>
    <row r="36" customFormat="false" ht="15" hidden="false" customHeight="false" outlineLevel="0" collapsed="false">
      <c r="A36" s="4" t="s">
        <v>40</v>
      </c>
    </row>
    <row r="37" customFormat="false" ht="15" hidden="false" customHeight="false" outlineLevel="0" collapsed="false">
      <c r="A37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</row>
    <row r="5" customFormat="false" ht="15" hidden="false" customHeight="false" outlineLevel="0" collapsed="false">
      <c r="A5" s="18" t="s">
        <v>45</v>
      </c>
      <c r="B5" s="18" t="s">
        <v>46</v>
      </c>
      <c r="C5" s="18" t="s">
        <v>16</v>
      </c>
      <c r="D5" s="18" t="s">
        <v>47</v>
      </c>
      <c r="E5" s="18" t="s">
        <v>48</v>
      </c>
      <c r="F5" s="18" t="s">
        <v>49</v>
      </c>
    </row>
    <row r="6" customFormat="false" ht="15" hidden="false" customHeight="false" outlineLevel="0" collapsed="false">
      <c r="A6" s="25" t="s">
        <v>50</v>
      </c>
      <c r="B6" s="26" t="n">
        <v>570</v>
      </c>
      <c r="C6" s="27" t="n">
        <f aca="false">B6/$B$10</f>
        <v>0.419117647058824</v>
      </c>
      <c r="D6" s="28" t="n">
        <f aca="false">C6*$B$13</f>
        <v>108.970588235294</v>
      </c>
      <c r="E6" s="29" t="s">
        <v>51</v>
      </c>
      <c r="F6" s="25" t="s">
        <v>52</v>
      </c>
    </row>
    <row r="7" customFormat="false" ht="23.85" hidden="false" customHeight="false" outlineLevel="0" collapsed="false">
      <c r="A7" s="25" t="s">
        <v>53</v>
      </c>
      <c r="B7" s="26" t="n">
        <v>376</v>
      </c>
      <c r="C7" s="27" t="n">
        <f aca="false">B7/$B$10</f>
        <v>0.276470588235294</v>
      </c>
      <c r="D7" s="28" t="n">
        <f aca="false">C7*$B$13</f>
        <v>71.8823529411765</v>
      </c>
      <c r="E7" s="29" t="s">
        <v>51</v>
      </c>
      <c r="F7" s="25" t="s">
        <v>54</v>
      </c>
    </row>
    <row r="8" customFormat="false" ht="23.85" hidden="false" customHeight="false" outlineLevel="0" collapsed="false">
      <c r="A8" s="25" t="s">
        <v>55</v>
      </c>
      <c r="B8" s="26" t="n">
        <v>304</v>
      </c>
      <c r="C8" s="27" t="n">
        <f aca="false">B8/$B$10</f>
        <v>0.223529411764706</v>
      </c>
      <c r="D8" s="28" t="n">
        <f aca="false">C8*$B$13</f>
        <v>58.1176470588235</v>
      </c>
      <c r="E8" s="30" t="s">
        <v>56</v>
      </c>
      <c r="F8" s="25" t="s">
        <v>57</v>
      </c>
    </row>
    <row r="9" customFormat="false" ht="15" hidden="false" customHeight="false" outlineLevel="0" collapsed="false">
      <c r="A9" s="25" t="s">
        <v>58</v>
      </c>
      <c r="B9" s="26" t="n">
        <v>110</v>
      </c>
      <c r="C9" s="27" t="n">
        <f aca="false">B9/$B$10</f>
        <v>0.0808823529411765</v>
      </c>
      <c r="D9" s="28" t="n">
        <f aca="false">C9*$B$13</f>
        <v>21.0294117647059</v>
      </c>
      <c r="E9" s="29" t="s">
        <v>51</v>
      </c>
      <c r="F9" s="25" t="s">
        <v>59</v>
      </c>
    </row>
    <row r="10" customFormat="false" ht="15" hidden="false" customHeight="false" outlineLevel="0" collapsed="false">
      <c r="A10" s="14" t="s">
        <v>32</v>
      </c>
      <c r="B10" s="15" t="n">
        <f aca="false">SUM(B6:B9)</f>
        <v>1360</v>
      </c>
      <c r="D10" s="15" t="n">
        <f aca="false">SUM(D6:D9)</f>
        <v>260</v>
      </c>
    </row>
    <row r="12" customFormat="false" ht="15" hidden="false" customHeight="false" outlineLevel="0" collapsed="false">
      <c r="A12" s="3" t="s">
        <v>2</v>
      </c>
    </row>
    <row r="13" customFormat="false" ht="15" hidden="false" customHeight="false" outlineLevel="0" collapsed="false">
      <c r="A13" s="4" t="s">
        <v>60</v>
      </c>
      <c r="B13" s="7" t="n">
        <v>260</v>
      </c>
      <c r="C13" s="2" t="s">
        <v>61</v>
      </c>
    </row>
    <row r="14" customFormat="false" ht="15" hidden="false" customHeight="false" outlineLevel="0" collapsed="false">
      <c r="A14" s="4" t="s">
        <v>62</v>
      </c>
      <c r="B14" s="31" t="n">
        <f aca="false">D6+D7+D9</f>
        <v>201.882352941177</v>
      </c>
    </row>
    <row r="15" customFormat="false" ht="15" hidden="false" customHeight="false" outlineLevel="0" collapsed="false">
      <c r="A15" s="4" t="s">
        <v>63</v>
      </c>
      <c r="B15" s="31" t="n">
        <f aca="false">D8</f>
        <v>58.1176470588235</v>
      </c>
    </row>
    <row r="16" customFormat="false" ht="15" hidden="false" customHeight="false" outlineLevel="0" collapsed="false">
      <c r="A16" s="4" t="s">
        <v>5</v>
      </c>
      <c r="B16" s="6" t="n">
        <v>121.88</v>
      </c>
      <c r="C16" s="2" t="s">
        <v>64</v>
      </c>
    </row>
    <row r="18" customFormat="false" ht="15" hidden="false" customHeight="false" outlineLevel="0" collapsed="false">
      <c r="A18" s="3" t="s">
        <v>65</v>
      </c>
    </row>
    <row r="19" customFormat="false" ht="15" hidden="false" customHeight="false" outlineLevel="0" collapsed="false">
      <c r="A19" s="18" t="s">
        <v>66</v>
      </c>
      <c r="B19" s="18" t="s">
        <v>67</v>
      </c>
      <c r="C19" s="18" t="s">
        <v>15</v>
      </c>
      <c r="D19" s="18" t="s">
        <v>68</v>
      </c>
      <c r="E19" s="18" t="s">
        <v>69</v>
      </c>
      <c r="F19" s="18" t="s">
        <v>70</v>
      </c>
    </row>
    <row r="20" customFormat="false" ht="23.85" hidden="false" customHeight="false" outlineLevel="0" collapsed="false">
      <c r="A20" s="32" t="s">
        <v>71</v>
      </c>
      <c r="B20" s="25" t="s">
        <v>72</v>
      </c>
      <c r="C20" s="33" t="n">
        <f aca="false">B13*B16</f>
        <v>31688.8</v>
      </c>
      <c r="D20" s="34" t="n">
        <f aca="false">C20/9750</f>
        <v>3.25013333333333</v>
      </c>
      <c r="E20" s="25" t="s">
        <v>73</v>
      </c>
      <c r="F20" s="25" t="s">
        <v>74</v>
      </c>
    </row>
    <row r="21" customFormat="false" ht="23.85" hidden="false" customHeight="false" outlineLevel="0" collapsed="false">
      <c r="A21" s="29" t="s">
        <v>75</v>
      </c>
      <c r="B21" s="35" t="s">
        <v>76</v>
      </c>
      <c r="C21" s="36" t="n">
        <f aca="false">B14*B16</f>
        <v>24605.4211764706</v>
      </c>
      <c r="D21" s="37" t="n">
        <f aca="false">C21/9750</f>
        <v>2.52363294117647</v>
      </c>
      <c r="E21" s="35" t="s">
        <v>77</v>
      </c>
      <c r="F21" s="35" t="s">
        <v>78</v>
      </c>
    </row>
    <row r="22" customFormat="false" ht="23.85" hidden="false" customHeight="false" outlineLevel="0" collapsed="false">
      <c r="A22" s="32" t="s">
        <v>79</v>
      </c>
      <c r="B22" s="25" t="s">
        <v>80</v>
      </c>
      <c r="C22" s="33" t="n">
        <f aca="false">200*B16</f>
        <v>24376</v>
      </c>
      <c r="D22" s="34" t="n">
        <f aca="false">C22/9750</f>
        <v>2.50010256410256</v>
      </c>
      <c r="E22" s="25" t="s">
        <v>81</v>
      </c>
      <c r="F22" s="25" t="s">
        <v>82</v>
      </c>
    </row>
    <row r="23" customFormat="false" ht="15" hidden="false" customHeight="false" outlineLevel="0" collapsed="false">
      <c r="A23" s="32" t="s">
        <v>83</v>
      </c>
      <c r="B23" s="25" t="s">
        <v>84</v>
      </c>
      <c r="C23" s="33" t="n">
        <f aca="false">160*B16</f>
        <v>19500.8</v>
      </c>
      <c r="D23" s="34" t="n">
        <f aca="false">C23/9750</f>
        <v>2.00008205128205</v>
      </c>
      <c r="E23" s="25" t="s">
        <v>85</v>
      </c>
      <c r="F23" s="25" t="s">
        <v>86</v>
      </c>
    </row>
    <row r="25" customFormat="false" ht="15" hidden="false" customHeight="false" outlineLevel="0" collapsed="false">
      <c r="A25" s="3" t="s">
        <v>87</v>
      </c>
    </row>
    <row r="26" customFormat="false" ht="15" hidden="false" customHeight="false" outlineLevel="0" collapsed="false">
      <c r="A26" s="2" t="s">
        <v>88</v>
      </c>
    </row>
    <row r="27" customFormat="false" ht="15" hidden="false" customHeight="false" outlineLevel="0" collapsed="false">
      <c r="A27" s="32" t="s">
        <v>89</v>
      </c>
      <c r="B27" s="25" t="s">
        <v>90</v>
      </c>
      <c r="C27" s="33" t="n">
        <f aca="false">B14*B16</f>
        <v>24605.4211764706</v>
      </c>
    </row>
    <row r="28" customFormat="false" ht="23.85" hidden="false" customHeight="false" outlineLevel="0" collapsed="false">
      <c r="A28" s="32" t="s">
        <v>91</v>
      </c>
      <c r="B28" s="25" t="s">
        <v>92</v>
      </c>
      <c r="C28" s="33" t="n">
        <f aca="false">2.5*9750</f>
        <v>24375</v>
      </c>
    </row>
    <row r="29" customFormat="false" ht="15" hidden="false" customHeight="false" outlineLevel="0" collapsed="false">
      <c r="A29" s="32" t="s">
        <v>93</v>
      </c>
      <c r="B29" s="25" t="s">
        <v>94</v>
      </c>
      <c r="C29" s="33" t="n">
        <f aca="false">1.25*19500</f>
        <v>24375</v>
      </c>
    </row>
    <row r="31" customFormat="false" ht="15" hidden="false" customHeight="false" outlineLevel="0" collapsed="false">
      <c r="A31" s="3" t="s">
        <v>95</v>
      </c>
    </row>
    <row r="32" customFormat="false" ht="15" hidden="false" customHeight="false" outlineLevel="0" collapsed="false">
      <c r="A32" s="10" t="s">
        <v>96</v>
      </c>
      <c r="B32" s="38" t="n">
        <f aca="false">9750</f>
        <v>9750</v>
      </c>
    </row>
    <row r="33" customFormat="false" ht="15" hidden="false" customHeight="false" outlineLevel="0" collapsed="false">
      <c r="A33" s="10" t="s">
        <v>97</v>
      </c>
      <c r="B33" s="38" t="n">
        <f aca="false">C21</f>
        <v>24605.4211764706</v>
      </c>
    </row>
    <row r="34" customFormat="false" ht="15" hidden="false" customHeight="false" outlineLevel="0" collapsed="false">
      <c r="A34" s="14" t="s">
        <v>98</v>
      </c>
      <c r="B34" s="16" t="n">
        <f aca="false">B32+B33</f>
        <v>34355.4211764706</v>
      </c>
    </row>
    <row r="35" customFormat="false" ht="15" hidden="false" customHeight="false" outlineLevel="0" collapsed="false">
      <c r="A35" s="4" t="s">
        <v>99</v>
      </c>
      <c r="B35" s="22" t="n">
        <f aca="false">Resumen!C17</f>
        <v>274080</v>
      </c>
    </row>
    <row r="36" customFormat="false" ht="15" hidden="false" customHeight="false" outlineLevel="0" collapsed="false">
      <c r="A36" s="4" t="s">
        <v>100</v>
      </c>
      <c r="B36" s="39" t="n">
        <f aca="false">B34/B35</f>
        <v>0.125348150818997</v>
      </c>
    </row>
    <row r="38" customFormat="false" ht="15" hidden="false" customHeight="false" outlineLevel="0" collapsed="false">
      <c r="A38" s="3" t="s">
        <v>101</v>
      </c>
    </row>
    <row r="39" customFormat="false" ht="15" hidden="false" customHeight="false" outlineLevel="0" collapsed="false">
      <c r="A39" s="4" t="s">
        <v>102</v>
      </c>
    </row>
    <row r="40" customFormat="false" ht="15" hidden="false" customHeight="false" outlineLevel="0" collapsed="false">
      <c r="A40" s="4" t="s">
        <v>103</v>
      </c>
    </row>
    <row r="41" customFormat="false" ht="15" hidden="false" customHeight="false" outlineLevel="0" collapsed="false">
      <c r="A41" s="4" t="s">
        <v>104</v>
      </c>
    </row>
    <row r="42" customFormat="false" ht="15" hidden="false" customHeight="false" outlineLevel="0" collapsed="false">
      <c r="A42" s="4" t="s">
        <v>105</v>
      </c>
    </row>
    <row r="43" customFormat="false" ht="15" hidden="false" customHeight="false" outlineLevel="0" collapsed="false">
      <c r="A43" s="4" t="s">
        <v>106</v>
      </c>
    </row>
    <row r="44" customFormat="false" ht="15" hidden="false" customHeight="false" outlineLevel="0" collapsed="false">
      <c r="A44" s="4" t="s">
        <v>107</v>
      </c>
    </row>
    <row r="45" customFormat="false" ht="15" hidden="false" customHeight="false" outlineLevel="0" collapsed="false">
      <c r="A45" s="4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18" t="s">
        <v>111</v>
      </c>
      <c r="B4" s="18" t="s">
        <v>112</v>
      </c>
      <c r="C4" s="18" t="s">
        <v>113</v>
      </c>
      <c r="D4" s="18" t="s">
        <v>114</v>
      </c>
      <c r="E4" s="18" t="s">
        <v>15</v>
      </c>
      <c r="F4" s="18" t="s">
        <v>115</v>
      </c>
    </row>
    <row r="5" customFormat="false" ht="23.85" hidden="false" customHeight="false" outlineLevel="0" collapsed="false">
      <c r="A5" s="32" t="s">
        <v>116</v>
      </c>
      <c r="B5" s="25" t="s">
        <v>117</v>
      </c>
      <c r="C5" s="25" t="s">
        <v>118</v>
      </c>
      <c r="D5" s="26" t="n">
        <v>90</v>
      </c>
      <c r="E5" s="40" t="n">
        <f aca="false">D5*Resumen!$B$5</f>
        <v>10800</v>
      </c>
      <c r="F5" s="25" t="s">
        <v>77</v>
      </c>
    </row>
    <row r="6" customFormat="false" ht="23.85" hidden="false" customHeight="false" outlineLevel="0" collapsed="false">
      <c r="A6" s="32" t="s">
        <v>119</v>
      </c>
      <c r="B6" s="25" t="s">
        <v>120</v>
      </c>
      <c r="C6" s="25" t="s">
        <v>121</v>
      </c>
      <c r="D6" s="26" t="n">
        <v>40</v>
      </c>
      <c r="E6" s="40" t="n">
        <f aca="false">D6*Resumen!$B$5</f>
        <v>4800</v>
      </c>
      <c r="F6" s="25" t="s">
        <v>122</v>
      </c>
    </row>
    <row r="7" customFormat="false" ht="23.85" hidden="false" customHeight="false" outlineLevel="0" collapsed="false">
      <c r="A7" s="32" t="s">
        <v>123</v>
      </c>
      <c r="B7" s="25" t="s">
        <v>124</v>
      </c>
      <c r="C7" s="25" t="s">
        <v>125</v>
      </c>
      <c r="D7" s="26" t="n">
        <v>30</v>
      </c>
      <c r="E7" s="40" t="n">
        <f aca="false">D7*Resumen!$B$5</f>
        <v>3600</v>
      </c>
      <c r="F7" s="25" t="s">
        <v>122</v>
      </c>
    </row>
    <row r="8" customFormat="false" ht="15" hidden="false" customHeight="false" outlineLevel="0" collapsed="false">
      <c r="A8" s="32" t="s">
        <v>126</v>
      </c>
      <c r="B8" s="25" t="s">
        <v>127</v>
      </c>
      <c r="C8" s="25" t="s">
        <v>128</v>
      </c>
      <c r="D8" s="26" t="n">
        <v>70</v>
      </c>
      <c r="E8" s="40" t="n">
        <f aca="false">D8*Resumen!$B$5</f>
        <v>8400</v>
      </c>
      <c r="F8" s="25" t="s">
        <v>129</v>
      </c>
    </row>
    <row r="9" customFormat="false" ht="23.85" hidden="false" customHeight="false" outlineLevel="0" collapsed="false">
      <c r="A9" s="32" t="s">
        <v>130</v>
      </c>
      <c r="B9" s="25" t="s">
        <v>131</v>
      </c>
      <c r="C9" s="25" t="s">
        <v>132</v>
      </c>
      <c r="D9" s="26" t="n">
        <v>50</v>
      </c>
      <c r="E9" s="40" t="n">
        <f aca="false">D9*Resumen!$B$5</f>
        <v>6000</v>
      </c>
      <c r="F9" s="25" t="s">
        <v>129</v>
      </c>
    </row>
    <row r="10" customFormat="false" ht="23.85" hidden="false" customHeight="false" outlineLevel="0" collapsed="false">
      <c r="A10" s="32" t="s">
        <v>133</v>
      </c>
      <c r="B10" s="25" t="s">
        <v>134</v>
      </c>
      <c r="C10" s="25" t="s">
        <v>135</v>
      </c>
      <c r="D10" s="26" t="n">
        <v>110</v>
      </c>
      <c r="E10" s="40" t="n">
        <f aca="false">D10*Resumen!$B$5</f>
        <v>13200</v>
      </c>
      <c r="F10" s="25" t="s">
        <v>81</v>
      </c>
    </row>
    <row r="11" customFormat="false" ht="23.85" hidden="false" customHeight="false" outlineLevel="0" collapsed="false">
      <c r="A11" s="32" t="s">
        <v>136</v>
      </c>
      <c r="B11" s="25" t="s">
        <v>137</v>
      </c>
      <c r="C11" s="25" t="s">
        <v>138</v>
      </c>
      <c r="D11" s="26" t="n">
        <v>55</v>
      </c>
      <c r="E11" s="40" t="n">
        <f aca="false">D11*Resumen!$B$5</f>
        <v>6600</v>
      </c>
      <c r="F11" s="25" t="s">
        <v>77</v>
      </c>
    </row>
    <row r="12" customFormat="false" ht="23.85" hidden="false" customHeight="false" outlineLevel="0" collapsed="false">
      <c r="A12" s="32" t="s">
        <v>139</v>
      </c>
      <c r="B12" s="25" t="s">
        <v>140</v>
      </c>
      <c r="C12" s="25" t="s">
        <v>141</v>
      </c>
      <c r="D12" s="26" t="n">
        <v>70</v>
      </c>
      <c r="E12" s="40" t="n">
        <f aca="false">D12*Resumen!$B$5</f>
        <v>8400</v>
      </c>
      <c r="F12" s="25" t="s">
        <v>77</v>
      </c>
    </row>
    <row r="13" customFormat="false" ht="23.85" hidden="false" customHeight="false" outlineLevel="0" collapsed="false">
      <c r="A13" s="32" t="s">
        <v>142</v>
      </c>
      <c r="B13" s="25" t="s">
        <v>143</v>
      </c>
      <c r="C13" s="25" t="s">
        <v>144</v>
      </c>
      <c r="D13" s="26" t="n">
        <v>40</v>
      </c>
      <c r="E13" s="40" t="n">
        <f aca="false">D13*Resumen!$B$5</f>
        <v>4800</v>
      </c>
      <c r="F13" s="25" t="s">
        <v>122</v>
      </c>
    </row>
    <row r="14" customFormat="false" ht="23.85" hidden="false" customHeight="false" outlineLevel="0" collapsed="false">
      <c r="A14" s="32" t="s">
        <v>145</v>
      </c>
      <c r="B14" s="25" t="s">
        <v>146</v>
      </c>
      <c r="C14" s="25" t="s">
        <v>147</v>
      </c>
      <c r="D14" s="26" t="n">
        <v>95</v>
      </c>
      <c r="E14" s="40" t="n">
        <f aca="false">D14*Resumen!$B$5</f>
        <v>11400</v>
      </c>
      <c r="F14" s="25" t="s">
        <v>77</v>
      </c>
    </row>
    <row r="15" customFormat="false" ht="23.85" hidden="false" customHeight="false" outlineLevel="0" collapsed="false">
      <c r="A15" s="32" t="s">
        <v>148</v>
      </c>
      <c r="B15" s="25" t="s">
        <v>149</v>
      </c>
      <c r="C15" s="25" t="s">
        <v>150</v>
      </c>
      <c r="D15" s="26" t="n">
        <v>60</v>
      </c>
      <c r="E15" s="40" t="n">
        <f aca="false">D15*Resumen!$B$5</f>
        <v>7200</v>
      </c>
      <c r="F15" s="25" t="s">
        <v>77</v>
      </c>
    </row>
    <row r="16" customFormat="false" ht="15" hidden="false" customHeight="false" outlineLevel="0" collapsed="false">
      <c r="B16" s="41" t="s">
        <v>151</v>
      </c>
      <c r="D16" s="42" t="n">
        <f aca="false">SUM(D5:D15)</f>
        <v>710</v>
      </c>
      <c r="E16" s="43" t="n">
        <f aca="false">D16*Resumen!$B$5</f>
        <v>85200</v>
      </c>
    </row>
    <row r="17" customFormat="false" ht="15" hidden="false" customHeight="false" outlineLevel="0" collapsed="false">
      <c r="A17" s="32" t="s">
        <v>152</v>
      </c>
      <c r="B17" s="25" t="s">
        <v>153</v>
      </c>
      <c r="C17" s="25" t="s">
        <v>154</v>
      </c>
      <c r="D17" s="26" t="n">
        <v>90</v>
      </c>
      <c r="E17" s="40" t="n">
        <f aca="false">D17*Resumen!$B$5</f>
        <v>10800</v>
      </c>
      <c r="F17" s="44"/>
    </row>
    <row r="18" customFormat="false" ht="23.85" hidden="false" customHeight="false" outlineLevel="0" collapsed="false">
      <c r="A18" s="32" t="s">
        <v>155</v>
      </c>
      <c r="B18" s="25" t="s">
        <v>156</v>
      </c>
      <c r="C18" s="25" t="s">
        <v>157</v>
      </c>
      <c r="D18" s="26" t="n">
        <v>124</v>
      </c>
      <c r="E18" s="40" t="n">
        <f aca="false">D18*Resumen!$B$5</f>
        <v>14880</v>
      </c>
      <c r="F18" s="44"/>
    </row>
    <row r="19" customFormat="false" ht="15" hidden="false" customHeight="false" outlineLevel="0" collapsed="false">
      <c r="B19" s="45" t="s">
        <v>158</v>
      </c>
      <c r="D19" s="42" t="n">
        <f aca="false">D16+SUM(D17:D18)</f>
        <v>924</v>
      </c>
      <c r="E19" s="43" t="n">
        <f aca="false">D19*Resumen!$B$5</f>
        <v>110880</v>
      </c>
    </row>
    <row r="21" customFormat="false" ht="15" hidden="false" customHeight="false" outlineLevel="0" collapsed="false">
      <c r="B21" s="3" t="s">
        <v>159</v>
      </c>
    </row>
    <row r="22" customFormat="false" ht="15" hidden="false" customHeight="false" outlineLevel="0" collapsed="false">
      <c r="B22" s="4" t="s">
        <v>160</v>
      </c>
      <c r="E22" s="5" t="n">
        <v>9750</v>
      </c>
    </row>
    <row r="23" customFormat="false" ht="15" hidden="false" customHeight="false" outlineLevel="0" collapsed="false">
      <c r="B23" s="4" t="s">
        <v>161</v>
      </c>
      <c r="E23" s="39" t="n">
        <f aca="false">E22/E19</f>
        <v>0.0879329004329004</v>
      </c>
    </row>
    <row r="24" customFormat="false" ht="15" hidden="false" customHeight="false" outlineLevel="0" collapsed="false">
      <c r="B24" s="4" t="s">
        <v>162</v>
      </c>
      <c r="E24" s="7" t="n">
        <v>100</v>
      </c>
    </row>
    <row r="25" customFormat="false" ht="15" hidden="false" customHeight="false" outlineLevel="0" collapsed="false">
      <c r="B25" s="2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44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66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23.85" hidden="false" customHeight="false" outlineLevel="0" collapsed="false">
      <c r="A4" s="18" t="s">
        <v>166</v>
      </c>
      <c r="B4" s="18" t="s">
        <v>167</v>
      </c>
      <c r="C4" s="18" t="s">
        <v>168</v>
      </c>
      <c r="D4" s="18" t="s">
        <v>169</v>
      </c>
      <c r="E4" s="18" t="s">
        <v>170</v>
      </c>
      <c r="F4" s="18" t="s">
        <v>114</v>
      </c>
      <c r="G4" s="18" t="s">
        <v>15</v>
      </c>
      <c r="H4" s="18" t="s">
        <v>171</v>
      </c>
    </row>
    <row r="5" customFormat="false" ht="15" hidden="false" customHeight="false" outlineLevel="0" collapsed="false">
      <c r="A5" s="46" t="s">
        <v>172</v>
      </c>
      <c r="B5" s="46"/>
      <c r="C5" s="46"/>
      <c r="D5" s="46"/>
      <c r="E5" s="46"/>
      <c r="F5" s="46"/>
      <c r="G5" s="46"/>
      <c r="H5" s="46"/>
    </row>
    <row r="6" customFormat="false" ht="23.85" hidden="false" customHeight="false" outlineLevel="0" collapsed="false">
      <c r="A6" s="32" t="s">
        <v>173</v>
      </c>
      <c r="B6" s="25" t="s">
        <v>174</v>
      </c>
      <c r="C6" s="25" t="s">
        <v>175</v>
      </c>
      <c r="D6" s="25" t="s">
        <v>176</v>
      </c>
      <c r="E6" s="26" t="n">
        <v>5012</v>
      </c>
      <c r="F6" s="26" t="n">
        <v>130</v>
      </c>
      <c r="G6" s="40" t="n">
        <f aca="false">F6*Resumen!$B$5</f>
        <v>15600</v>
      </c>
      <c r="H6" s="25" t="s">
        <v>177</v>
      </c>
    </row>
    <row r="7" customFormat="false" ht="15" hidden="false" customHeight="false" outlineLevel="0" collapsed="false">
      <c r="A7" s="32" t="s">
        <v>178</v>
      </c>
      <c r="B7" s="25" t="s">
        <v>179</v>
      </c>
      <c r="C7" s="25" t="s">
        <v>180</v>
      </c>
      <c r="D7" s="25" t="s">
        <v>176</v>
      </c>
      <c r="E7" s="26" t="n">
        <v>1815</v>
      </c>
      <c r="F7" s="26" t="n">
        <v>56</v>
      </c>
      <c r="G7" s="40" t="n">
        <f aca="false">F7*Resumen!$B$5</f>
        <v>6720</v>
      </c>
      <c r="H7" s="25" t="s">
        <v>181</v>
      </c>
    </row>
    <row r="8" customFormat="false" ht="15" hidden="false" customHeight="false" outlineLevel="0" collapsed="false">
      <c r="A8" s="32" t="s">
        <v>182</v>
      </c>
      <c r="B8" s="25" t="s">
        <v>183</v>
      </c>
      <c r="C8" s="25" t="s">
        <v>184</v>
      </c>
      <c r="D8" s="25" t="s">
        <v>176</v>
      </c>
      <c r="E8" s="26" t="n">
        <v>1888</v>
      </c>
      <c r="F8" s="26" t="n">
        <v>56</v>
      </c>
      <c r="G8" s="40" t="n">
        <f aca="false">F8*Resumen!$B$5</f>
        <v>6720</v>
      </c>
      <c r="H8" s="25" t="s">
        <v>185</v>
      </c>
    </row>
    <row r="9" customFormat="false" ht="15" hidden="false" customHeight="false" outlineLevel="0" collapsed="false">
      <c r="A9" s="32" t="s">
        <v>186</v>
      </c>
      <c r="B9" s="25" t="s">
        <v>187</v>
      </c>
      <c r="C9" s="25" t="s">
        <v>188</v>
      </c>
      <c r="D9" s="25" t="s">
        <v>176</v>
      </c>
      <c r="E9" s="26" t="n">
        <v>1298</v>
      </c>
      <c r="F9" s="26" t="n">
        <v>56</v>
      </c>
      <c r="G9" s="40" t="n">
        <f aca="false">F9*Resumen!$B$5</f>
        <v>6720</v>
      </c>
      <c r="H9" s="25" t="s">
        <v>189</v>
      </c>
    </row>
    <row r="10" customFormat="false" ht="15" hidden="false" customHeight="false" outlineLevel="0" collapsed="false">
      <c r="A10" s="32" t="s">
        <v>190</v>
      </c>
      <c r="B10" s="25" t="s">
        <v>191</v>
      </c>
      <c r="C10" s="25" t="s">
        <v>192</v>
      </c>
      <c r="D10" s="25" t="s">
        <v>176</v>
      </c>
      <c r="E10" s="26" t="n">
        <v>1060</v>
      </c>
      <c r="F10" s="26" t="n">
        <v>40</v>
      </c>
      <c r="G10" s="40" t="n">
        <f aca="false">F10*Resumen!$B$5</f>
        <v>4800</v>
      </c>
      <c r="H10" s="25" t="s">
        <v>193</v>
      </c>
    </row>
    <row r="11" customFormat="false" ht="23.85" hidden="false" customHeight="false" outlineLevel="0" collapsed="false">
      <c r="A11" s="32" t="s">
        <v>194</v>
      </c>
      <c r="B11" s="25" t="s">
        <v>195</v>
      </c>
      <c r="C11" s="25" t="s">
        <v>196</v>
      </c>
      <c r="D11" s="25" t="s">
        <v>176</v>
      </c>
      <c r="E11" s="26" t="n">
        <v>253</v>
      </c>
      <c r="F11" s="26" t="n">
        <v>40</v>
      </c>
      <c r="G11" s="40" t="n">
        <f aca="false">F11*Resumen!$B$5</f>
        <v>4800</v>
      </c>
      <c r="H11" s="25" t="s">
        <v>197</v>
      </c>
    </row>
    <row r="12" customFormat="false" ht="15" hidden="false" customHeight="false" outlineLevel="0" collapsed="false">
      <c r="A12" s="32" t="s">
        <v>198</v>
      </c>
      <c r="B12" s="25" t="s">
        <v>199</v>
      </c>
      <c r="C12" s="25" t="s">
        <v>200</v>
      </c>
      <c r="D12" s="25" t="s">
        <v>176</v>
      </c>
      <c r="E12" s="26" t="n">
        <v>1063</v>
      </c>
      <c r="F12" s="26" t="n">
        <v>32</v>
      </c>
      <c r="G12" s="40" t="n">
        <f aca="false">F12*Resumen!$B$5</f>
        <v>3840</v>
      </c>
      <c r="H12" s="25" t="s">
        <v>201</v>
      </c>
    </row>
    <row r="13" customFormat="false" ht="15" hidden="false" customHeight="false" outlineLevel="0" collapsed="false">
      <c r="A13" s="32" t="s">
        <v>202</v>
      </c>
      <c r="B13" s="25" t="s">
        <v>203</v>
      </c>
      <c r="C13" s="25" t="s">
        <v>204</v>
      </c>
      <c r="D13" s="25" t="s">
        <v>176</v>
      </c>
      <c r="E13" s="26" t="s">
        <v>205</v>
      </c>
      <c r="F13" s="26" t="n">
        <v>32</v>
      </c>
      <c r="G13" s="40" t="n">
        <f aca="false">F13*Resumen!$B$5</f>
        <v>3840</v>
      </c>
      <c r="H13" s="25" t="s">
        <v>206</v>
      </c>
    </row>
    <row r="14" customFormat="false" ht="15" hidden="false" customHeight="false" outlineLevel="0" collapsed="false">
      <c r="A14" s="32" t="s">
        <v>207</v>
      </c>
      <c r="B14" s="25" t="s">
        <v>208</v>
      </c>
      <c r="C14" s="25" t="s">
        <v>209</v>
      </c>
      <c r="D14" s="25" t="s">
        <v>176</v>
      </c>
      <c r="E14" s="26" t="n">
        <v>464</v>
      </c>
      <c r="F14" s="26" t="n">
        <v>24</v>
      </c>
      <c r="G14" s="40" t="n">
        <f aca="false">F14*Resumen!$B$5</f>
        <v>2880</v>
      </c>
      <c r="H14" s="25" t="s">
        <v>210</v>
      </c>
    </row>
    <row r="15" customFormat="false" ht="15" hidden="false" customHeight="false" outlineLevel="0" collapsed="false">
      <c r="A15" s="32" t="s">
        <v>211</v>
      </c>
      <c r="B15" s="25" t="s">
        <v>212</v>
      </c>
      <c r="C15" s="25" t="s">
        <v>213</v>
      </c>
      <c r="D15" s="25" t="s">
        <v>176</v>
      </c>
      <c r="E15" s="26" t="s">
        <v>205</v>
      </c>
      <c r="F15" s="26" t="n">
        <v>24</v>
      </c>
      <c r="G15" s="40" t="n">
        <f aca="false">F15*Resumen!$B$5</f>
        <v>2880</v>
      </c>
      <c r="H15" s="25" t="s">
        <v>214</v>
      </c>
    </row>
    <row r="16" customFormat="false" ht="15" hidden="false" customHeight="false" outlineLevel="0" collapsed="false">
      <c r="A16" s="32" t="s">
        <v>215</v>
      </c>
      <c r="B16" s="25" t="s">
        <v>216</v>
      </c>
      <c r="C16" s="25" t="s">
        <v>217</v>
      </c>
      <c r="D16" s="25" t="s">
        <v>176</v>
      </c>
      <c r="E16" s="26" t="n">
        <v>250</v>
      </c>
      <c r="F16" s="26" t="n">
        <v>24</v>
      </c>
      <c r="G16" s="40" t="n">
        <f aca="false">F16*Resumen!$B$5</f>
        <v>2880</v>
      </c>
      <c r="H16" s="25" t="s">
        <v>218</v>
      </c>
    </row>
    <row r="17" customFormat="false" ht="15" hidden="false" customHeight="false" outlineLevel="0" collapsed="false">
      <c r="A17" s="32" t="s">
        <v>219</v>
      </c>
      <c r="B17" s="25" t="s">
        <v>220</v>
      </c>
      <c r="C17" s="25" t="s">
        <v>221</v>
      </c>
      <c r="D17" s="25" t="s">
        <v>176</v>
      </c>
      <c r="E17" s="26" t="n">
        <v>202</v>
      </c>
      <c r="F17" s="26" t="n">
        <v>16</v>
      </c>
      <c r="G17" s="40" t="n">
        <f aca="false">F17*Resumen!$B$5</f>
        <v>1920</v>
      </c>
      <c r="H17" s="25" t="s">
        <v>222</v>
      </c>
    </row>
    <row r="18" customFormat="false" ht="15" hidden="false" customHeight="false" outlineLevel="0" collapsed="false">
      <c r="A18" s="32" t="s">
        <v>223</v>
      </c>
      <c r="B18" s="25" t="s">
        <v>224</v>
      </c>
      <c r="C18" s="25" t="s">
        <v>225</v>
      </c>
      <c r="D18" s="25" t="s">
        <v>176</v>
      </c>
      <c r="E18" s="26" t="n">
        <v>210</v>
      </c>
      <c r="F18" s="26" t="n">
        <v>16</v>
      </c>
      <c r="G18" s="40" t="n">
        <f aca="false">F18*Resumen!$B$5</f>
        <v>1920</v>
      </c>
      <c r="H18" s="25" t="s">
        <v>226</v>
      </c>
    </row>
    <row r="19" customFormat="false" ht="15" hidden="false" customHeight="false" outlineLevel="0" collapsed="false">
      <c r="A19" s="32" t="s">
        <v>227</v>
      </c>
      <c r="B19" s="25" t="s">
        <v>228</v>
      </c>
      <c r="C19" s="25" t="s">
        <v>229</v>
      </c>
      <c r="D19" s="25" t="s">
        <v>176</v>
      </c>
      <c r="E19" s="26" t="n">
        <v>283</v>
      </c>
      <c r="F19" s="26" t="n">
        <v>16</v>
      </c>
      <c r="G19" s="40" t="n">
        <f aca="false">F19*Resumen!$B$5</f>
        <v>1920</v>
      </c>
      <c r="H19" s="25" t="s">
        <v>230</v>
      </c>
    </row>
    <row r="20" customFormat="false" ht="15" hidden="false" customHeight="false" outlineLevel="0" collapsed="false">
      <c r="A20" s="32" t="s">
        <v>231</v>
      </c>
      <c r="B20" s="25" t="s">
        <v>232</v>
      </c>
      <c r="C20" s="25" t="s">
        <v>233</v>
      </c>
      <c r="D20" s="25" t="s">
        <v>176</v>
      </c>
      <c r="E20" s="26" t="s">
        <v>205</v>
      </c>
      <c r="F20" s="26" t="n">
        <v>8</v>
      </c>
      <c r="G20" s="40" t="n">
        <f aca="false">F20*Resumen!$B$5</f>
        <v>960</v>
      </c>
      <c r="H20" s="25" t="s">
        <v>234</v>
      </c>
    </row>
    <row r="21" customFormat="false" ht="15" hidden="false" customHeight="false" outlineLevel="0" collapsed="false">
      <c r="C21" s="45" t="s">
        <v>235</v>
      </c>
      <c r="F21" s="42" t="n">
        <f aca="false">SUM(F6:F20)</f>
        <v>570</v>
      </c>
      <c r="G21" s="43" t="n">
        <f aca="false">F21*Resumen!$B$5</f>
        <v>68400</v>
      </c>
    </row>
    <row r="23" customFormat="false" ht="15" hidden="false" customHeight="false" outlineLevel="0" collapsed="false">
      <c r="A23" s="46" t="s">
        <v>236</v>
      </c>
      <c r="B23" s="46"/>
      <c r="C23" s="46"/>
      <c r="D23" s="46"/>
      <c r="E23" s="46"/>
      <c r="F23" s="46"/>
      <c r="G23" s="46"/>
      <c r="H23" s="46"/>
    </row>
    <row r="24" customFormat="false" ht="23.85" hidden="false" customHeight="false" outlineLevel="0" collapsed="false">
      <c r="A24" s="32" t="s">
        <v>237</v>
      </c>
      <c r="B24" s="25" t="s">
        <v>238</v>
      </c>
      <c r="C24" s="25" t="s">
        <v>239</v>
      </c>
      <c r="D24" s="25" t="s">
        <v>240</v>
      </c>
      <c r="E24" s="26" t="n">
        <v>4568</v>
      </c>
      <c r="F24" s="26" t="n">
        <v>110</v>
      </c>
      <c r="G24" s="40" t="n">
        <f aca="false">F24*Resumen!$B$5</f>
        <v>13200</v>
      </c>
      <c r="H24" s="25" t="s">
        <v>241</v>
      </c>
    </row>
    <row r="25" customFormat="false" ht="15" hidden="false" customHeight="false" outlineLevel="0" collapsed="false">
      <c r="A25" s="32" t="s">
        <v>242</v>
      </c>
      <c r="B25" s="25" t="s">
        <v>243</v>
      </c>
      <c r="C25" s="25" t="s">
        <v>244</v>
      </c>
      <c r="D25" s="25" t="s">
        <v>245</v>
      </c>
      <c r="E25" s="26" t="n">
        <v>4900</v>
      </c>
      <c r="F25" s="26" t="n">
        <v>90</v>
      </c>
      <c r="G25" s="40" t="n">
        <f aca="false">F25*Resumen!$B$5</f>
        <v>10800</v>
      </c>
      <c r="H25" s="25" t="s">
        <v>246</v>
      </c>
    </row>
    <row r="26" customFormat="false" ht="15" hidden="false" customHeight="false" outlineLevel="0" collapsed="false">
      <c r="A26" s="32" t="s">
        <v>247</v>
      </c>
      <c r="B26" s="25" t="s">
        <v>248</v>
      </c>
      <c r="C26" s="25" t="s">
        <v>249</v>
      </c>
      <c r="D26" s="25" t="s">
        <v>245</v>
      </c>
      <c r="E26" s="26" t="n">
        <v>1493</v>
      </c>
      <c r="F26" s="26" t="n">
        <v>56</v>
      </c>
      <c r="G26" s="40" t="n">
        <f aca="false">F26*Resumen!$B$5</f>
        <v>6720</v>
      </c>
      <c r="H26" s="25" t="s">
        <v>250</v>
      </c>
    </row>
    <row r="27" customFormat="false" ht="15" hidden="false" customHeight="false" outlineLevel="0" collapsed="false">
      <c r="A27" s="32" t="s">
        <v>251</v>
      </c>
      <c r="B27" s="25" t="s">
        <v>252</v>
      </c>
      <c r="C27" s="25" t="s">
        <v>253</v>
      </c>
      <c r="D27" s="25" t="s">
        <v>245</v>
      </c>
      <c r="E27" s="26" t="s">
        <v>205</v>
      </c>
      <c r="F27" s="26" t="n">
        <v>48</v>
      </c>
      <c r="G27" s="40" t="n">
        <f aca="false">F27*Resumen!$B$5</f>
        <v>5760</v>
      </c>
      <c r="H27" s="25" t="s">
        <v>254</v>
      </c>
    </row>
    <row r="28" customFormat="false" ht="15" hidden="false" customHeight="false" outlineLevel="0" collapsed="false">
      <c r="A28" s="32" t="s">
        <v>255</v>
      </c>
      <c r="B28" s="25" t="s">
        <v>256</v>
      </c>
      <c r="C28" s="25" t="s">
        <v>257</v>
      </c>
      <c r="D28" s="25" t="s">
        <v>245</v>
      </c>
      <c r="E28" s="26" t="n">
        <v>899</v>
      </c>
      <c r="F28" s="26" t="n">
        <v>40</v>
      </c>
      <c r="G28" s="40" t="n">
        <f aca="false">F28*Resumen!$B$5</f>
        <v>4800</v>
      </c>
      <c r="H28" s="25" t="s">
        <v>258</v>
      </c>
    </row>
    <row r="29" customFormat="false" ht="15" hidden="false" customHeight="false" outlineLevel="0" collapsed="false">
      <c r="A29" s="32" t="s">
        <v>259</v>
      </c>
      <c r="B29" s="25" t="s">
        <v>260</v>
      </c>
      <c r="C29" s="25" t="s">
        <v>261</v>
      </c>
      <c r="D29" s="25" t="s">
        <v>245</v>
      </c>
      <c r="E29" s="26" t="n">
        <v>875</v>
      </c>
      <c r="F29" s="26" t="n">
        <v>32</v>
      </c>
      <c r="G29" s="40" t="n">
        <f aca="false">F29*Resumen!$B$5</f>
        <v>3840</v>
      </c>
      <c r="H29" s="25" t="s">
        <v>262</v>
      </c>
    </row>
    <row r="30" customFormat="false" ht="15" hidden="false" customHeight="false" outlineLevel="0" collapsed="false">
      <c r="C30" s="45" t="s">
        <v>235</v>
      </c>
      <c r="F30" s="42" t="n">
        <f aca="false">SUM(F24:F29)</f>
        <v>376</v>
      </c>
      <c r="G30" s="43" t="n">
        <f aca="false">F30*Resumen!$B$5</f>
        <v>45120</v>
      </c>
    </row>
    <row r="32" customFormat="false" ht="15" hidden="false" customHeight="false" outlineLevel="0" collapsed="false">
      <c r="A32" s="46" t="s">
        <v>263</v>
      </c>
      <c r="B32" s="46"/>
      <c r="C32" s="46"/>
      <c r="D32" s="46"/>
      <c r="E32" s="46"/>
      <c r="F32" s="46"/>
      <c r="G32" s="46"/>
      <c r="H32" s="46"/>
    </row>
    <row r="33" customFormat="false" ht="15" hidden="false" customHeight="false" outlineLevel="0" collapsed="false">
      <c r="A33" s="32" t="s">
        <v>264</v>
      </c>
      <c r="B33" s="25" t="s">
        <v>265</v>
      </c>
      <c r="C33" s="25" t="s">
        <v>266</v>
      </c>
      <c r="D33" s="30" t="s">
        <v>267</v>
      </c>
      <c r="E33" s="26" t="n">
        <v>2708</v>
      </c>
      <c r="F33" s="26" t="n">
        <v>56</v>
      </c>
      <c r="G33" s="40" t="n">
        <f aca="false">F33*Resumen!$B$5</f>
        <v>6720</v>
      </c>
      <c r="H33" s="25" t="s">
        <v>268</v>
      </c>
    </row>
    <row r="34" customFormat="false" ht="15" hidden="false" customHeight="false" outlineLevel="0" collapsed="false">
      <c r="A34" s="32" t="s">
        <v>269</v>
      </c>
      <c r="B34" s="25" t="s">
        <v>270</v>
      </c>
      <c r="C34" s="25" t="s">
        <v>271</v>
      </c>
      <c r="D34" s="30" t="s">
        <v>267</v>
      </c>
      <c r="E34" s="26" t="s">
        <v>205</v>
      </c>
      <c r="F34" s="26" t="n">
        <v>40</v>
      </c>
      <c r="G34" s="40" t="n">
        <f aca="false">F34*Resumen!$B$5</f>
        <v>4800</v>
      </c>
      <c r="H34" s="25" t="s">
        <v>272</v>
      </c>
    </row>
    <row r="35" customFormat="false" ht="15" hidden="false" customHeight="false" outlineLevel="0" collapsed="false">
      <c r="A35" s="32" t="s">
        <v>273</v>
      </c>
      <c r="B35" s="25" t="s">
        <v>274</v>
      </c>
      <c r="C35" s="25" t="s">
        <v>275</v>
      </c>
      <c r="D35" s="30" t="s">
        <v>267</v>
      </c>
      <c r="E35" s="26" t="s">
        <v>205</v>
      </c>
      <c r="F35" s="26" t="n">
        <v>40</v>
      </c>
      <c r="G35" s="40" t="n">
        <f aca="false">F35*Resumen!$B$5</f>
        <v>4800</v>
      </c>
      <c r="H35" s="25" t="s">
        <v>276</v>
      </c>
    </row>
    <row r="36" customFormat="false" ht="23.85" hidden="false" customHeight="false" outlineLevel="0" collapsed="false">
      <c r="A36" s="32" t="s">
        <v>277</v>
      </c>
      <c r="B36" s="25" t="s">
        <v>265</v>
      </c>
      <c r="C36" s="25" t="s">
        <v>278</v>
      </c>
      <c r="D36" s="30" t="s">
        <v>267</v>
      </c>
      <c r="E36" s="26" t="n">
        <v>438</v>
      </c>
      <c r="F36" s="26" t="n">
        <v>32</v>
      </c>
      <c r="G36" s="40" t="n">
        <f aca="false">F36*Resumen!$B$5</f>
        <v>3840</v>
      </c>
      <c r="H36" s="25" t="s">
        <v>279</v>
      </c>
    </row>
    <row r="37" customFormat="false" ht="15" hidden="false" customHeight="false" outlineLevel="0" collapsed="false">
      <c r="A37" s="32" t="s">
        <v>280</v>
      </c>
      <c r="B37" s="25" t="s">
        <v>281</v>
      </c>
      <c r="C37" s="25" t="s">
        <v>282</v>
      </c>
      <c r="D37" s="30" t="s">
        <v>267</v>
      </c>
      <c r="E37" s="26" t="s">
        <v>205</v>
      </c>
      <c r="F37" s="26" t="n">
        <v>24</v>
      </c>
      <c r="G37" s="40" t="n">
        <f aca="false">F37*Resumen!$B$5</f>
        <v>2880</v>
      </c>
      <c r="H37" s="25" t="s">
        <v>283</v>
      </c>
    </row>
    <row r="38" customFormat="false" ht="15" hidden="false" customHeight="false" outlineLevel="0" collapsed="false">
      <c r="A38" s="32" t="s">
        <v>284</v>
      </c>
      <c r="B38" s="25" t="s">
        <v>285</v>
      </c>
      <c r="C38" s="25" t="s">
        <v>286</v>
      </c>
      <c r="D38" s="30" t="s">
        <v>267</v>
      </c>
      <c r="E38" s="26" t="s">
        <v>205</v>
      </c>
      <c r="F38" s="26" t="n">
        <v>24</v>
      </c>
      <c r="G38" s="40" t="n">
        <f aca="false">F38*Resumen!$B$5</f>
        <v>2880</v>
      </c>
      <c r="H38" s="25" t="s">
        <v>287</v>
      </c>
    </row>
    <row r="39" customFormat="false" ht="15" hidden="false" customHeight="false" outlineLevel="0" collapsed="false">
      <c r="A39" s="32" t="s">
        <v>288</v>
      </c>
      <c r="B39" s="25" t="s">
        <v>289</v>
      </c>
      <c r="C39" s="25" t="s">
        <v>290</v>
      </c>
      <c r="D39" s="30" t="s">
        <v>267</v>
      </c>
      <c r="E39" s="26" t="n">
        <v>500</v>
      </c>
      <c r="F39" s="26" t="n">
        <v>20</v>
      </c>
      <c r="G39" s="40" t="n">
        <f aca="false">F39*Resumen!$B$5</f>
        <v>2400</v>
      </c>
      <c r="H39" s="25" t="s">
        <v>291</v>
      </c>
    </row>
    <row r="40" customFormat="false" ht="15" hidden="false" customHeight="false" outlineLevel="0" collapsed="false">
      <c r="A40" s="32" t="s">
        <v>292</v>
      </c>
      <c r="B40" s="25" t="s">
        <v>293</v>
      </c>
      <c r="C40" s="25" t="s">
        <v>294</v>
      </c>
      <c r="D40" s="30" t="s">
        <v>267</v>
      </c>
      <c r="E40" s="26" t="n">
        <v>121</v>
      </c>
      <c r="F40" s="26" t="n">
        <v>16</v>
      </c>
      <c r="G40" s="40" t="n">
        <f aca="false">F40*Resumen!$B$5</f>
        <v>1920</v>
      </c>
      <c r="H40" s="25" t="s">
        <v>295</v>
      </c>
    </row>
    <row r="41" customFormat="false" ht="15" hidden="false" customHeight="false" outlineLevel="0" collapsed="false">
      <c r="A41" s="32" t="s">
        <v>296</v>
      </c>
      <c r="B41" s="25" t="s">
        <v>297</v>
      </c>
      <c r="C41" s="25" t="s">
        <v>298</v>
      </c>
      <c r="D41" s="30" t="s">
        <v>267</v>
      </c>
      <c r="E41" s="26" t="n">
        <v>365</v>
      </c>
      <c r="F41" s="26" t="n">
        <v>16</v>
      </c>
      <c r="G41" s="40" t="n">
        <f aca="false">F41*Resumen!$B$5</f>
        <v>1920</v>
      </c>
      <c r="H41" s="25" t="s">
        <v>299</v>
      </c>
    </row>
    <row r="42" customFormat="false" ht="15" hidden="false" customHeight="false" outlineLevel="0" collapsed="false">
      <c r="A42" s="32" t="s">
        <v>300</v>
      </c>
      <c r="B42" s="25" t="s">
        <v>301</v>
      </c>
      <c r="C42" s="25" t="s">
        <v>302</v>
      </c>
      <c r="D42" s="30" t="s">
        <v>267</v>
      </c>
      <c r="E42" s="26" t="n">
        <v>164</v>
      </c>
      <c r="F42" s="26" t="n">
        <v>12</v>
      </c>
      <c r="G42" s="40" t="n">
        <f aca="false">F42*Resumen!$B$5</f>
        <v>1440</v>
      </c>
      <c r="H42" s="25" t="s">
        <v>303</v>
      </c>
    </row>
    <row r="43" customFormat="false" ht="15" hidden="false" customHeight="false" outlineLevel="0" collapsed="false">
      <c r="A43" s="32" t="s">
        <v>304</v>
      </c>
      <c r="B43" s="25" t="s">
        <v>305</v>
      </c>
      <c r="C43" s="25" t="s">
        <v>306</v>
      </c>
      <c r="D43" s="30" t="s">
        <v>267</v>
      </c>
      <c r="E43" s="26" t="n">
        <v>176</v>
      </c>
      <c r="F43" s="26" t="n">
        <v>12</v>
      </c>
      <c r="G43" s="40" t="n">
        <f aca="false">F43*Resumen!$B$5</f>
        <v>1440</v>
      </c>
      <c r="H43" s="25" t="s">
        <v>307</v>
      </c>
    </row>
    <row r="44" customFormat="false" ht="15" hidden="false" customHeight="false" outlineLevel="0" collapsed="false">
      <c r="A44" s="32" t="s">
        <v>308</v>
      </c>
      <c r="B44" s="25" t="s">
        <v>309</v>
      </c>
      <c r="C44" s="25" t="s">
        <v>310</v>
      </c>
      <c r="D44" s="30" t="s">
        <v>267</v>
      </c>
      <c r="E44" s="26" t="n">
        <v>124</v>
      </c>
      <c r="F44" s="26" t="n">
        <v>12</v>
      </c>
      <c r="G44" s="40" t="n">
        <f aca="false">F44*Resumen!$B$5</f>
        <v>1440</v>
      </c>
      <c r="H44" s="25" t="s">
        <v>311</v>
      </c>
    </row>
    <row r="45" customFormat="false" ht="15" hidden="false" customHeight="false" outlineLevel="0" collapsed="false">
      <c r="C45" s="45" t="s">
        <v>235</v>
      </c>
      <c r="F45" s="42" t="n">
        <f aca="false">SUM(F33:F44)</f>
        <v>304</v>
      </c>
      <c r="G45" s="43" t="n">
        <f aca="false">F45*Resumen!$B$5</f>
        <v>36480</v>
      </c>
    </row>
    <row r="47" customFormat="false" ht="15" hidden="false" customHeight="false" outlineLevel="0" collapsed="false">
      <c r="A47" s="46" t="s">
        <v>312</v>
      </c>
      <c r="B47" s="46"/>
      <c r="C47" s="46"/>
      <c r="D47" s="46"/>
      <c r="E47" s="46"/>
      <c r="F47" s="46"/>
      <c r="G47" s="46"/>
      <c r="H47" s="46"/>
    </row>
    <row r="48" customFormat="false" ht="23.85" hidden="false" customHeight="false" outlineLevel="0" collapsed="false">
      <c r="A48" s="32" t="s">
        <v>313</v>
      </c>
      <c r="B48" s="25" t="s">
        <v>265</v>
      </c>
      <c r="C48" s="25" t="s">
        <v>314</v>
      </c>
      <c r="D48" s="25" t="s">
        <v>315</v>
      </c>
      <c r="E48" s="26" t="s">
        <v>205</v>
      </c>
      <c r="F48" s="26" t="n">
        <v>60</v>
      </c>
      <c r="G48" s="40" t="n">
        <f aca="false">F48*Resumen!$B$5</f>
        <v>7200</v>
      </c>
      <c r="H48" s="25" t="s">
        <v>316</v>
      </c>
    </row>
    <row r="49" customFormat="false" ht="15" hidden="false" customHeight="false" outlineLevel="0" collapsed="false">
      <c r="A49" s="32" t="s">
        <v>317</v>
      </c>
      <c r="B49" s="25" t="s">
        <v>265</v>
      </c>
      <c r="C49" s="25" t="s">
        <v>318</v>
      </c>
      <c r="D49" s="25" t="s">
        <v>315</v>
      </c>
      <c r="E49" s="26" t="s">
        <v>205</v>
      </c>
      <c r="F49" s="26" t="n">
        <v>50</v>
      </c>
      <c r="G49" s="40" t="n">
        <f aca="false">F49*Resumen!$B$5</f>
        <v>6000</v>
      </c>
      <c r="H49" s="25" t="s">
        <v>319</v>
      </c>
    </row>
    <row r="50" customFormat="false" ht="15" hidden="false" customHeight="false" outlineLevel="0" collapsed="false">
      <c r="C50" s="45" t="s">
        <v>235</v>
      </c>
      <c r="F50" s="42" t="n">
        <f aca="false">SUM(F48:F49)</f>
        <v>110</v>
      </c>
      <c r="G50" s="43" t="n">
        <f aca="false">F50*Resumen!$B$5</f>
        <v>13200</v>
      </c>
    </row>
    <row r="52" customFormat="false" ht="15" hidden="false" customHeight="false" outlineLevel="0" collapsed="false">
      <c r="C52" s="14" t="s">
        <v>320</v>
      </c>
      <c r="D52" s="47"/>
      <c r="E52" s="47"/>
      <c r="F52" s="15" t="n">
        <f aca="false">F21+F30+F45+F50</f>
        <v>1360</v>
      </c>
      <c r="G52" s="16" t="n">
        <f aca="false">F52*Resumen!$B$5</f>
        <v>163200</v>
      </c>
    </row>
  </sheetData>
  <mergeCells count="4">
    <mergeCell ref="A5:H5"/>
    <mergeCell ref="A23:H23"/>
    <mergeCell ref="A32:H32"/>
    <mergeCell ref="A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321</v>
      </c>
    </row>
    <row r="2" customFormat="false" ht="15" hidden="false" customHeight="false" outlineLevel="0" collapsed="false">
      <c r="A2" s="2" t="s">
        <v>322</v>
      </c>
    </row>
    <row r="4" customFormat="false" ht="15" hidden="false" customHeight="false" outlineLevel="0" collapsed="false">
      <c r="A4" s="18" t="s">
        <v>166</v>
      </c>
      <c r="B4" s="18" t="s">
        <v>167</v>
      </c>
      <c r="C4" s="18" t="s">
        <v>168</v>
      </c>
      <c r="D4" s="18" t="s">
        <v>114</v>
      </c>
      <c r="E4" s="18" t="s">
        <v>15</v>
      </c>
      <c r="F4" s="18" t="s">
        <v>323</v>
      </c>
    </row>
    <row r="5" customFormat="false" ht="23.85" hidden="false" customHeight="false" outlineLevel="0" collapsed="false">
      <c r="A5" s="32" t="s">
        <v>324</v>
      </c>
      <c r="B5" s="25" t="s">
        <v>325</v>
      </c>
      <c r="C5" s="25" t="s">
        <v>326</v>
      </c>
      <c r="D5" s="26" t="n">
        <v>100</v>
      </c>
      <c r="E5" s="40" t="n">
        <f aca="false">D5*Resumen!$B$5</f>
        <v>12000</v>
      </c>
      <c r="F5" s="25" t="s">
        <v>327</v>
      </c>
    </row>
    <row r="6" customFormat="false" ht="23.85" hidden="false" customHeight="false" outlineLevel="0" collapsed="false">
      <c r="A6" s="32" t="s">
        <v>328</v>
      </c>
      <c r="B6" s="25" t="s">
        <v>328</v>
      </c>
      <c r="C6" s="25" t="s">
        <v>329</v>
      </c>
      <c r="D6" s="26" t="n">
        <v>90</v>
      </c>
      <c r="E6" s="40" t="n">
        <f aca="false">D6*Resumen!$B$5</f>
        <v>10800</v>
      </c>
      <c r="F6" s="25" t="s">
        <v>330</v>
      </c>
    </row>
    <row r="7" customFormat="false" ht="15" hidden="false" customHeight="false" outlineLevel="0" collapsed="false">
      <c r="A7" s="32" t="s">
        <v>331</v>
      </c>
      <c r="B7" s="25" t="s">
        <v>332</v>
      </c>
      <c r="C7" s="25" t="s">
        <v>333</v>
      </c>
      <c r="D7" s="26" t="n">
        <v>80</v>
      </c>
      <c r="E7" s="40" t="n">
        <f aca="false">D7*Resumen!$B$5</f>
        <v>9600</v>
      </c>
      <c r="F7" s="25" t="s">
        <v>334</v>
      </c>
    </row>
    <row r="8" customFormat="false" ht="15" hidden="false" customHeight="false" outlineLevel="0" collapsed="false">
      <c r="A8" s="32" t="s">
        <v>335</v>
      </c>
      <c r="B8" s="25" t="s">
        <v>336</v>
      </c>
      <c r="C8" s="25" t="s">
        <v>337</v>
      </c>
      <c r="D8" s="26" t="n">
        <v>60</v>
      </c>
      <c r="E8" s="40" t="n">
        <f aca="false">D8*Resumen!$B$5</f>
        <v>7200</v>
      </c>
      <c r="F8" s="25" t="s">
        <v>338</v>
      </c>
    </row>
    <row r="9" customFormat="false" ht="15" hidden="false" customHeight="false" outlineLevel="0" collapsed="false">
      <c r="A9" s="32" t="s">
        <v>339</v>
      </c>
      <c r="B9" s="25" t="s">
        <v>340</v>
      </c>
      <c r="C9" s="25" t="s">
        <v>341</v>
      </c>
      <c r="D9" s="26" t="n">
        <v>60</v>
      </c>
      <c r="E9" s="40" t="n">
        <f aca="false">D9*Resumen!$B$5</f>
        <v>7200</v>
      </c>
      <c r="F9" s="25" t="s">
        <v>342</v>
      </c>
    </row>
    <row r="10" customFormat="false" ht="15" hidden="false" customHeight="false" outlineLevel="0" collapsed="false">
      <c r="A10" s="32" t="s">
        <v>343</v>
      </c>
      <c r="B10" s="25" t="s">
        <v>344</v>
      </c>
      <c r="C10" s="25" t="s">
        <v>345</v>
      </c>
      <c r="D10" s="26" t="n">
        <v>48</v>
      </c>
      <c r="E10" s="40" t="n">
        <f aca="false">D10*Resumen!$B$5</f>
        <v>5760</v>
      </c>
      <c r="F10" s="25" t="s">
        <v>346</v>
      </c>
    </row>
    <row r="11" customFormat="false" ht="15" hidden="false" customHeight="false" outlineLevel="0" collapsed="false">
      <c r="A11" s="32" t="s">
        <v>347</v>
      </c>
      <c r="B11" s="25" t="s">
        <v>348</v>
      </c>
      <c r="C11" s="25" t="s">
        <v>349</v>
      </c>
      <c r="D11" s="26" t="n">
        <v>40</v>
      </c>
      <c r="E11" s="40" t="n">
        <f aca="false">D11*Resumen!$B$5</f>
        <v>4800</v>
      </c>
      <c r="F11" s="25" t="s">
        <v>350</v>
      </c>
    </row>
    <row r="12" customFormat="false" ht="23.85" hidden="false" customHeight="false" outlineLevel="0" collapsed="false">
      <c r="A12" s="32" t="s">
        <v>351</v>
      </c>
      <c r="B12" s="25" t="s">
        <v>351</v>
      </c>
      <c r="C12" s="25" t="s">
        <v>352</v>
      </c>
      <c r="D12" s="26" t="n">
        <v>32</v>
      </c>
      <c r="E12" s="40" t="n">
        <f aca="false">D12*Resumen!$B$5</f>
        <v>3840</v>
      </c>
      <c r="F12" s="25" t="s">
        <v>353</v>
      </c>
    </row>
    <row r="13" customFormat="false" ht="15" hidden="false" customHeight="false" outlineLevel="0" collapsed="false">
      <c r="A13" s="32" t="s">
        <v>354</v>
      </c>
      <c r="B13" s="25" t="s">
        <v>355</v>
      </c>
      <c r="C13" s="25" t="s">
        <v>356</v>
      </c>
      <c r="D13" s="26" t="n">
        <v>24</v>
      </c>
      <c r="E13" s="40" t="n">
        <f aca="false">D13*Resumen!$B$5</f>
        <v>2880</v>
      </c>
      <c r="F13" s="25" t="s">
        <v>357</v>
      </c>
    </row>
    <row r="14" customFormat="false" ht="15" hidden="false" customHeight="false" outlineLevel="0" collapsed="false">
      <c r="A14" s="32" t="s">
        <v>358</v>
      </c>
      <c r="B14" s="25" t="s">
        <v>359</v>
      </c>
      <c r="C14" s="25" t="s">
        <v>360</v>
      </c>
      <c r="D14" s="26" t="n">
        <v>16</v>
      </c>
      <c r="E14" s="40" t="n">
        <f aca="false">D14*Resumen!$B$5</f>
        <v>1920</v>
      </c>
      <c r="F14" s="25" t="s">
        <v>361</v>
      </c>
    </row>
    <row r="15" customFormat="false" ht="15" hidden="false" customHeight="false" outlineLevel="0" collapsed="false">
      <c r="A15" s="32" t="s">
        <v>362</v>
      </c>
      <c r="B15" s="25" t="s">
        <v>363</v>
      </c>
      <c r="C15" s="25" t="s">
        <v>364</v>
      </c>
      <c r="D15" s="26" t="n">
        <v>16</v>
      </c>
      <c r="E15" s="40" t="n">
        <f aca="false">D15*Resumen!$B$5</f>
        <v>1920</v>
      </c>
      <c r="F15" s="25" t="s">
        <v>365</v>
      </c>
    </row>
    <row r="16" customFormat="false" ht="15" hidden="false" customHeight="false" outlineLevel="0" collapsed="false">
      <c r="C16" s="14" t="s">
        <v>366</v>
      </c>
      <c r="D16" s="15" t="n">
        <f aca="false">SUM(D5:D15)</f>
        <v>566</v>
      </c>
      <c r="E16" s="16" t="n">
        <f aca="false">D16*Resumen!$B$5</f>
        <v>67920</v>
      </c>
    </row>
    <row r="18" customFormat="false" ht="15" hidden="false" customHeight="false" outlineLevel="0" collapsed="false">
      <c r="C18" s="4" t="s">
        <v>367</v>
      </c>
      <c r="E18" s="5" t="n">
        <f aca="false">D16/Resumen!$B$8*Resumen!$B$6</f>
        <v>10949.853968254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28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368</v>
      </c>
    </row>
    <row r="3" customFormat="false" ht="15" hidden="false" customHeight="false" outlineLevel="0" collapsed="false">
      <c r="A3" s="3" t="s">
        <v>369</v>
      </c>
    </row>
    <row r="4" customFormat="false" ht="15" hidden="false" customHeight="false" outlineLevel="0" collapsed="false">
      <c r="A4" s="4" t="s">
        <v>370</v>
      </c>
      <c r="B4" s="41" t="s">
        <v>371</v>
      </c>
      <c r="C4" s="2" t="s">
        <v>372</v>
      </c>
    </row>
    <row r="5" customFormat="false" ht="15" hidden="false" customHeight="false" outlineLevel="0" collapsed="false">
      <c r="A5" s="4" t="s">
        <v>373</v>
      </c>
      <c r="B5" s="41" t="s">
        <v>374</v>
      </c>
      <c r="C5" s="2" t="s">
        <v>375</v>
      </c>
    </row>
    <row r="6" customFormat="false" ht="15" hidden="false" customHeight="false" outlineLevel="0" collapsed="false">
      <c r="A6" s="4" t="s">
        <v>376</v>
      </c>
      <c r="B6" s="41" t="s">
        <v>377</v>
      </c>
      <c r="C6" s="2" t="s">
        <v>378</v>
      </c>
    </row>
    <row r="7" customFormat="false" ht="15" hidden="false" customHeight="false" outlineLevel="0" collapsed="false">
      <c r="A7" s="4" t="s">
        <v>379</v>
      </c>
      <c r="B7" s="41" t="s">
        <v>380</v>
      </c>
      <c r="C7" s="2" t="s">
        <v>381</v>
      </c>
    </row>
    <row r="8" customFormat="false" ht="15" hidden="false" customHeight="false" outlineLevel="0" collapsed="false">
      <c r="A8" s="4" t="s">
        <v>382</v>
      </c>
      <c r="B8" s="41" t="s">
        <v>383</v>
      </c>
      <c r="C8" s="2"/>
    </row>
    <row r="9" customFormat="false" ht="15" hidden="false" customHeight="false" outlineLevel="0" collapsed="false">
      <c r="A9" s="4" t="s">
        <v>384</v>
      </c>
      <c r="B9" s="41" t="s">
        <v>385</v>
      </c>
      <c r="C9" s="2" t="s">
        <v>386</v>
      </c>
    </row>
    <row r="10" customFormat="false" ht="15" hidden="false" customHeight="false" outlineLevel="0" collapsed="false">
      <c r="A10" s="4" t="s">
        <v>387</v>
      </c>
      <c r="B10" s="41" t="s">
        <v>388</v>
      </c>
      <c r="C10" s="2" t="s">
        <v>389</v>
      </c>
    </row>
    <row r="12" customFormat="false" ht="15" hidden="false" customHeight="false" outlineLevel="0" collapsed="false">
      <c r="A12" s="3" t="s">
        <v>390</v>
      </c>
    </row>
    <row r="13" customFormat="false" ht="15" hidden="false" customHeight="false" outlineLevel="0" collapsed="false">
      <c r="A13" s="4" t="s">
        <v>391</v>
      </c>
      <c r="B13" s="41" t="s">
        <v>392</v>
      </c>
      <c r="C13" s="2" t="s">
        <v>393</v>
      </c>
    </row>
    <row r="14" customFormat="false" ht="15" hidden="false" customHeight="false" outlineLevel="0" collapsed="false">
      <c r="A14" s="4" t="s">
        <v>394</v>
      </c>
      <c r="B14" s="41" t="s">
        <v>395</v>
      </c>
      <c r="C14" s="2" t="s">
        <v>396</v>
      </c>
    </row>
    <row r="15" customFormat="false" ht="15" hidden="false" customHeight="false" outlineLevel="0" collapsed="false">
      <c r="A15" s="4" t="s">
        <v>397</v>
      </c>
      <c r="B15" s="41" t="s">
        <v>398</v>
      </c>
      <c r="C15" s="2" t="s">
        <v>399</v>
      </c>
    </row>
    <row r="16" customFormat="false" ht="15" hidden="false" customHeight="false" outlineLevel="0" collapsed="false">
      <c r="A16" s="4" t="s">
        <v>400</v>
      </c>
      <c r="B16" s="41" t="s">
        <v>401</v>
      </c>
      <c r="C16" s="2" t="s">
        <v>402</v>
      </c>
    </row>
    <row r="18" customFormat="false" ht="15" hidden="false" customHeight="false" outlineLevel="0" collapsed="false">
      <c r="A18" s="3" t="s">
        <v>403</v>
      </c>
    </row>
    <row r="19" customFormat="false" ht="15" hidden="false" customHeight="false" outlineLevel="0" collapsed="false">
      <c r="A19" s="4" t="s">
        <v>404</v>
      </c>
    </row>
    <row r="20" customFormat="false" ht="15" hidden="false" customHeight="false" outlineLevel="0" collapsed="false">
      <c r="A20" s="4" t="s">
        <v>405</v>
      </c>
    </row>
    <row r="21" customFormat="false" ht="15" hidden="false" customHeight="false" outlineLevel="0" collapsed="false">
      <c r="A21" s="4" t="s">
        <v>406</v>
      </c>
    </row>
    <row r="22" customFormat="false" ht="15" hidden="false" customHeight="false" outlineLevel="0" collapsed="false">
      <c r="A22" s="4" t="s">
        <v>407</v>
      </c>
    </row>
    <row r="23" customFormat="false" ht="15" hidden="false" customHeight="false" outlineLevel="0" collapsed="false">
      <c r="A23" s="4" t="s">
        <v>408</v>
      </c>
    </row>
    <row r="25" customFormat="false" ht="15" hidden="false" customHeight="false" outlineLevel="0" collapsed="false">
      <c r="A25" s="3" t="s">
        <v>409</v>
      </c>
    </row>
    <row r="26" customFormat="false" ht="15" hidden="false" customHeight="false" outlineLevel="0" collapsed="false">
      <c r="A26" s="4" t="s">
        <v>410</v>
      </c>
    </row>
    <row r="27" customFormat="false" ht="15" hidden="false" customHeight="false" outlineLevel="0" collapsed="false">
      <c r="A27" s="4" t="s">
        <v>411</v>
      </c>
    </row>
    <row r="28" customFormat="false" ht="15" hidden="false" customHeight="false" outlineLevel="0" collapsed="false">
      <c r="A28" s="4" t="s">
        <v>412</v>
      </c>
    </row>
    <row r="29" customFormat="false" ht="15" hidden="false" customHeight="false" outlineLevel="0" collapsed="false">
      <c r="A29" s="4" t="s">
        <v>413</v>
      </c>
    </row>
    <row r="30" customFormat="false" ht="15" hidden="false" customHeight="false" outlineLevel="0" collapsed="false">
      <c r="A30" s="4" t="s">
        <v>414</v>
      </c>
    </row>
    <row r="31" customFormat="false" ht="15" hidden="false" customHeight="false" outlineLevel="0" collapsed="false">
      <c r="A31" s="4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2026-08-11T11:34:24Z</dcterms:created>
  <dc:creator>openpyxl</dc:creator>
  <dc:description/>
  <dc:language>en-US</dc:language>
  <cp:lastModifiedBy/>
  <dcterms:modified xsi:type="dcterms:W3CDTF">2026-08-11T11:34:25Z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